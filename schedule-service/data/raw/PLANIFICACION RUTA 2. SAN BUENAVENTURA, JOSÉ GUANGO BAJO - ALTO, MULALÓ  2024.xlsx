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UTAS COMPLETAS 2024\rUTAS rECOLECCION\RUTAS RECOLECCION CARGA POSTERIOR\"/>
    </mc:Choice>
  </mc:AlternateContent>
  <bookViews>
    <workbookView xWindow="0" yWindow="0" windowWidth="11630" windowHeight="2930" activeTab="4"/>
  </bookViews>
  <sheets>
    <sheet name="RUTA 2 LUNES " sheetId="18" r:id="rId1"/>
    <sheet name="RUTA 2 MARTES" sheetId="19" r:id="rId2"/>
    <sheet name="RUTA 2 MIERCOLES" sheetId="20" r:id="rId3"/>
    <sheet name="RUTA 2 JUEVES " sheetId="21" r:id="rId4"/>
    <sheet name="RUTA 2 VIERNES " sheetId="2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22" l="1"/>
  <c r="C44" i="18"/>
  <c r="C40" i="21" l="1"/>
  <c r="C51" i="20"/>
  <c r="C40" i="19"/>
</calcChain>
</file>

<file path=xl/sharedStrings.xml><?xml version="1.0" encoding="utf-8"?>
<sst xmlns="http://schemas.openxmlformats.org/spreadsheetml/2006/main" count="385" uniqueCount="178">
  <si>
    <t>RUTAS DEL SERVICIO DE RECOLECCION DE DESECHOS SÓLIDOS COMUNES.</t>
  </si>
  <si>
    <t>LUNES</t>
  </si>
  <si>
    <t>Horario: 07h30 a 16h30.</t>
  </si>
  <si>
    <t>JUEVES.</t>
  </si>
  <si>
    <t>MIÉRCOLES.</t>
  </si>
  <si>
    <t xml:space="preserve">VIERNES. </t>
  </si>
  <si>
    <t>MARTES.</t>
  </si>
  <si>
    <t>2.-</t>
  </si>
  <si>
    <t xml:space="preserve">Areopuerto - aduana del Ecuador. </t>
  </si>
  <si>
    <t>Via a Resepciones los Capulis (SISCOM).</t>
  </si>
  <si>
    <t>Villas de la Brigada.</t>
  </si>
  <si>
    <t xml:space="preserve">Semáforos sector 4 esquinas. </t>
  </si>
  <si>
    <t>Gasolinera sindicato de choferes.</t>
  </si>
  <si>
    <t xml:space="preserve">Gasolinera Petrocomercial los sauces. </t>
  </si>
  <si>
    <t>Sector Los Sauces canchas del Sr. Pollo Mera.</t>
  </si>
  <si>
    <t xml:space="preserve">Panamericana Norte Km. 1 hasta semaforos del ingreso a San Bueneventura. (Kaffes). </t>
  </si>
  <si>
    <t xml:space="preserve">Centro de San Buenaventura. </t>
  </si>
  <si>
    <t xml:space="preserve">Centro de Salud San Buenaventura. </t>
  </si>
  <si>
    <t xml:space="preserve">Barrio Santa Bárbara. </t>
  </si>
  <si>
    <t>Barrio el Caspi Santa Catalina</t>
  </si>
  <si>
    <t>Barrio el Caspi Churo Pinto Mineria.</t>
  </si>
  <si>
    <t xml:space="preserve">Barrio Ticatilin Cara sur ingreso Volcán Cotopaxi. </t>
  </si>
  <si>
    <t xml:space="preserve">Barrio Salatilin - Elalco. </t>
  </si>
  <si>
    <t xml:space="preserve">RUTA 2: San Buenaventura, José Guago Bajo - Alto, Mulaló. </t>
  </si>
  <si>
    <t>Unidad Educativa Cesar Viera.</t>
  </si>
  <si>
    <t>Gasolinera Petrocomercial.</t>
  </si>
  <si>
    <t>Panamericana Norte Km. 1 hasta semaforos del ingresoa San Bueneventura.</t>
  </si>
  <si>
    <t>Laigua Santo Domingo.</t>
  </si>
  <si>
    <t>San Francisco Iglesia la Paz.</t>
  </si>
  <si>
    <t>Unidad educativa 14 de Julio.</t>
  </si>
  <si>
    <t>Urbanización Buenaventura.</t>
  </si>
  <si>
    <t>Bellavista el Tambo.</t>
  </si>
  <si>
    <t>San Silvestre.</t>
  </si>
  <si>
    <t>Gasolinera Bellavista.</t>
  </si>
  <si>
    <t>Via Bellavista - Puente Alaquez.</t>
  </si>
  <si>
    <t>Barrio la Libertad.</t>
  </si>
  <si>
    <t>Parroquia San Buenaventura.</t>
  </si>
  <si>
    <t>Unidad Educativa Numa Pompilio Llona.</t>
  </si>
  <si>
    <t>Centro de San Buenaventura.</t>
  </si>
  <si>
    <t>Estadio de San Buenaventura.</t>
  </si>
  <si>
    <t>Centro de Salud San Buenaventura.</t>
  </si>
  <si>
    <t>Barrio Chile.</t>
  </si>
  <si>
    <t>Barrio Santa Barvara.</t>
  </si>
  <si>
    <t>Via Ingreso a Bellavista - KAFFES Motel.</t>
  </si>
  <si>
    <t>Agua Clara.</t>
  </si>
  <si>
    <t xml:space="preserve">Agua Clara Fabrica de helados. </t>
  </si>
  <si>
    <t>La Libertad - Joseguango Alto.</t>
  </si>
  <si>
    <t>Centro Joseguango Alto.</t>
  </si>
  <si>
    <t>Chinchil.</t>
  </si>
  <si>
    <t>Chinchil Casa comunal 5 barrios.</t>
  </si>
  <si>
    <t>Via Quisinche Alto.</t>
  </si>
  <si>
    <t>El Rosal.</t>
  </si>
  <si>
    <t>Mulaló.</t>
  </si>
  <si>
    <t>Oficinas Regional Oriental.</t>
  </si>
  <si>
    <t>UPC.</t>
  </si>
  <si>
    <t>GAD Parroquial.</t>
  </si>
  <si>
    <t>Centro de Salud Mulalo.</t>
  </si>
  <si>
    <t>Unidad Educativa Mulalo Bloque 1,2.</t>
  </si>
  <si>
    <t>Fabrica de Refrescos el Castillo.</t>
  </si>
  <si>
    <t>Macaló Chico.</t>
  </si>
  <si>
    <t>Urbanización Padre Guillermo Rivera.</t>
  </si>
  <si>
    <t>Gasolinera Mulalo.</t>
  </si>
  <si>
    <t>Quisinche Bajo.</t>
  </si>
  <si>
    <t>Joseguango Bajo.</t>
  </si>
  <si>
    <t>Unidad Educativa Felix Valencia.</t>
  </si>
  <si>
    <t>Centro de Salud Joseguango Bajo.</t>
  </si>
  <si>
    <t>Urb. Jardines de Bellavista.</t>
  </si>
  <si>
    <t>Puente de Aláquez.</t>
  </si>
  <si>
    <t>Monjas.</t>
  </si>
  <si>
    <t>Cabañas la  Libertad.</t>
  </si>
  <si>
    <t>La Libertad.</t>
  </si>
  <si>
    <t>Barrio el Caspi Virgen del Quinche.</t>
  </si>
  <si>
    <t xml:space="preserve">Hacienda la Cabaña y Plantación. </t>
  </si>
  <si>
    <t>San Agustin de Callo.</t>
  </si>
  <si>
    <t>Unidad Educativa Leonidas Plaza.</t>
  </si>
  <si>
    <t>Hacienda san Agustin de callo cada 15 días.</t>
  </si>
  <si>
    <t>Plantacion Paramo Roses cada 15 dias.</t>
  </si>
  <si>
    <t>San Ramón Iglesia.</t>
  </si>
  <si>
    <t xml:space="preserve">Mulaló. </t>
  </si>
  <si>
    <t>Barrio Trompucho.</t>
  </si>
  <si>
    <t>Chinchil de Robayos Iglesia.</t>
  </si>
  <si>
    <t>Chinchil de Villamarin Iglesia.</t>
  </si>
  <si>
    <t>Lactios la Querencia.</t>
  </si>
  <si>
    <t>Quisinche Alto.</t>
  </si>
  <si>
    <t>Colaya Juridica.</t>
  </si>
  <si>
    <t>Loma Tandalivi.</t>
  </si>
  <si>
    <t>Daryce.</t>
  </si>
  <si>
    <t>Induce.</t>
  </si>
  <si>
    <t>Panecont cada 15 dias.</t>
  </si>
  <si>
    <t>Panamericana Norte Km. 1 hasta semáforos del ingreso a San Bueneventura.</t>
  </si>
  <si>
    <t>Via Bellavista - Puente Aláquez.</t>
  </si>
  <si>
    <t>Puente de Alaquez.</t>
  </si>
  <si>
    <t>La Aragoneza.</t>
  </si>
  <si>
    <t>Parroquia San Bueneventura.</t>
  </si>
  <si>
    <t>Via patios de retencion vehicular.</t>
  </si>
  <si>
    <t>Fabrica dispostes.</t>
  </si>
  <si>
    <t>Via Ingreso y salida a Bellavista - KAFFES Motel.</t>
  </si>
  <si>
    <t xml:space="preserve"> Rutas 2, vehículo recolector de carga posterior.</t>
  </si>
  <si>
    <t>PARROQUIAS/BARRIOS/ SECTORES  ATENDIDOS</t>
  </si>
  <si>
    <t>CONTENEDORES EPAGAL</t>
  </si>
  <si>
    <t>MODELO PRESTACION DE SERVICIO</t>
  </si>
  <si>
    <t>KILOMETROS RECORRIDOS</t>
  </si>
  <si>
    <t>NÚMERO DE VIAJES</t>
  </si>
  <si>
    <t>TONELADAS RECOLECTADAS</t>
  </si>
  <si>
    <t>Barrio Maria Jacinta</t>
  </si>
  <si>
    <t>Entrada San Buenaventura estadio</t>
  </si>
  <si>
    <t>Laigua Simon Rodriguez</t>
  </si>
  <si>
    <t>Laigua de Maldonado</t>
  </si>
  <si>
    <t>Laigua de Vargas</t>
  </si>
  <si>
    <t>Laigua Centro via a Tennis Club</t>
  </si>
  <si>
    <t>Barrio Colaisa</t>
  </si>
  <si>
    <t>Brigada Patria</t>
  </si>
  <si>
    <t>Laigua de Simon Rodriguez</t>
  </si>
  <si>
    <t>Entrda San Bueneventura estadio</t>
  </si>
  <si>
    <t>Laigua Centro via Tennis Club</t>
  </si>
  <si>
    <t>Brigada Patría</t>
  </si>
  <si>
    <t>Puente de Alaquez</t>
  </si>
  <si>
    <t>CONTENEDORES PARTICULARES</t>
  </si>
  <si>
    <t>La Victoria</t>
  </si>
  <si>
    <t>Floricola Milroses</t>
  </si>
  <si>
    <t>Floricola FlowerVillage</t>
  </si>
  <si>
    <t>Floricola Deco Flor</t>
  </si>
  <si>
    <t>Ecofroz</t>
  </si>
  <si>
    <t>Piaveri</t>
  </si>
  <si>
    <t>Rancho Camila</t>
  </si>
  <si>
    <t>Aeropuerto - Aduana Ecuador</t>
  </si>
  <si>
    <t>Colaisa</t>
  </si>
  <si>
    <t>Floricola Rosely Flower</t>
  </si>
  <si>
    <t>Barrio Pillig</t>
  </si>
  <si>
    <t>Langualo Chico</t>
  </si>
  <si>
    <t>Langualo Grande</t>
  </si>
  <si>
    <t>Floricola Agrinag</t>
  </si>
  <si>
    <t>EQR Chilintosa</t>
  </si>
  <si>
    <t>Barrio Rumipamba de Espinoza</t>
  </si>
  <si>
    <t>Floricola Royal Flower</t>
  </si>
  <si>
    <t>Floricola Tesa N° 4</t>
  </si>
  <si>
    <t>Floricola Gran Flowers</t>
  </si>
  <si>
    <t>Pilvicsa</t>
  </si>
  <si>
    <t>Agrocoex</t>
  </si>
  <si>
    <t>Recta Tandalivi</t>
  </si>
  <si>
    <t>Areopuerto - Aduana del Ecuador</t>
  </si>
  <si>
    <t>Colegio Simón Rodriguez</t>
  </si>
  <si>
    <t>Total.</t>
  </si>
  <si>
    <t xml:space="preserve">Total Contenedores Levantados : </t>
  </si>
  <si>
    <t xml:space="preserve">Total: </t>
  </si>
  <si>
    <t>Pie de vereda</t>
  </si>
  <si>
    <t xml:space="preserve">Pie de vereda </t>
  </si>
  <si>
    <t xml:space="preserve">Total Contenedores Levantados: </t>
  </si>
  <si>
    <t>Pie de Vereda</t>
  </si>
  <si>
    <t xml:space="preserve">Total Contenedores levantados </t>
  </si>
  <si>
    <t xml:space="preserve">Total Contenedores levantados: </t>
  </si>
  <si>
    <t xml:space="preserve">Total viajes </t>
  </si>
  <si>
    <t>Viaje N° 1</t>
  </si>
  <si>
    <t xml:space="preserve"> Rutas 2, vehículo recolector de carga posterior</t>
  </si>
  <si>
    <t xml:space="preserve">Ayudantes 1 </t>
  </si>
  <si>
    <t xml:space="preserve">Chofer: </t>
  </si>
  <si>
    <t xml:space="preserve">TIEMPO ESTIMADO </t>
  </si>
  <si>
    <t xml:space="preserve">N° 2.- </t>
  </si>
  <si>
    <t xml:space="preserve">Ayudantes N° 1 </t>
  </si>
  <si>
    <t xml:space="preserve"> Rutas 2, vehículo recolector de carga posterior </t>
  </si>
  <si>
    <t xml:space="preserve">Chofer: Chofer: </t>
  </si>
  <si>
    <t>Ayudantes N° 1</t>
  </si>
  <si>
    <t>Iglecia de Laigua de Maldonado</t>
  </si>
  <si>
    <t>Parroquia San Buenaventura</t>
  </si>
  <si>
    <t>Callo Mancheno</t>
  </si>
  <si>
    <t>Floricola Valde Sol (Ya no se ingresa)</t>
  </si>
  <si>
    <t>EQR Sierra Flor (Ya no se ingresa)</t>
  </si>
  <si>
    <t>Floricola la Rosaleda (Ya no se ingresa)</t>
  </si>
  <si>
    <t>Rancjo Saquimala San Isidro (Ampliacion de Ruta)</t>
  </si>
  <si>
    <t>Elaborado por:</t>
  </si>
  <si>
    <t>Revisado por:</t>
  </si>
  <si>
    <t>____________________________________</t>
  </si>
  <si>
    <t>_______________________________________</t>
  </si>
  <si>
    <t>Ing. Raúl Andino R.</t>
  </si>
  <si>
    <t>Mgs. Miriam Zapata Rojas</t>
  </si>
  <si>
    <t>ANALISTA DE SERVICIOS OPERATIVOS</t>
  </si>
  <si>
    <t>JEFE DESECHOS SOLIDOS</t>
  </si>
  <si>
    <t>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</si>
</sst>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b/>
      <i/>
      <sz val="9"/>
      <color theme="1"/>
      <name val="Bookman Old Style"/>
      <family val="1"/>
    </font>
    <font>
      <b/>
      <i/>
      <sz val="10"/>
      <color theme="1"/>
      <name val="Bookman Old Style"/>
      <family val="1"/>
    </font>
    <font>
      <b/>
      <i/>
      <sz val="11"/>
      <color theme="1"/>
      <name val="Calibri"/>
      <family val="2"/>
      <scheme val="minor"/>
    </font>
    <font>
      <i/>
      <sz val="8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7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0" fillId="0" borderId="4" xfId="0" applyBorder="1"/>
    <xf numFmtId="0" fontId="4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0" fillId="0" borderId="10" xfId="0" applyBorder="1"/>
    <xf numFmtId="0" fontId="8" fillId="0" borderId="5" xfId="0" applyFont="1" applyBorder="1" applyAlignment="1">
      <alignment horizontal="left" vertical="center" wrapText="1"/>
    </xf>
    <xf numFmtId="0" fontId="4" fillId="0" borderId="5" xfId="0" applyFont="1" applyBorder="1"/>
    <xf numFmtId="0" fontId="5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5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0" fontId="3" fillId="3" borderId="3" xfId="0" applyFont="1" applyFill="1" applyBorder="1" applyAlignment="1">
      <alignment vertical="center" textRotation="90" wrapText="1"/>
    </xf>
    <xf numFmtId="0" fontId="9" fillId="0" borderId="14" xfId="0" applyFont="1" applyBorder="1" applyAlignment="1">
      <alignment vertical="center"/>
    </xf>
    <xf numFmtId="0" fontId="12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11" fillId="0" borderId="31" xfId="0" applyFont="1" applyBorder="1" applyAlignment="1">
      <alignment vertical="center"/>
    </xf>
    <xf numFmtId="0" fontId="9" fillId="0" borderId="14" xfId="0" applyFont="1" applyBorder="1" applyAlignment="1">
      <alignment vertical="center" wrapText="1"/>
    </xf>
    <xf numFmtId="0" fontId="11" fillId="0" borderId="10" xfId="0" applyFont="1" applyBorder="1"/>
    <xf numFmtId="0" fontId="0" fillId="0" borderId="35" xfId="0" applyBorder="1"/>
    <xf numFmtId="0" fontId="9" fillId="0" borderId="36" xfId="0" applyFont="1" applyBorder="1" applyAlignment="1">
      <alignment horizontal="center" vertical="center"/>
    </xf>
    <xf numFmtId="0" fontId="0" fillId="0" borderId="36" xfId="0" applyBorder="1"/>
    <xf numFmtId="0" fontId="10" fillId="0" borderId="36" xfId="0" applyFont="1" applyBorder="1" applyAlignment="1">
      <alignment horizontal="center"/>
    </xf>
    <xf numFmtId="0" fontId="5" fillId="0" borderId="25" xfId="0" applyFont="1" applyBorder="1" applyAlignment="1">
      <alignment horizontal="left" vertical="center"/>
    </xf>
    <xf numFmtId="0" fontId="9" fillId="0" borderId="29" xfId="0" applyFont="1" applyBorder="1" applyAlignment="1">
      <alignment horizontal="center" vertical="center"/>
    </xf>
    <xf numFmtId="0" fontId="11" fillId="0" borderId="35" xfId="0" applyFont="1" applyBorder="1" applyAlignment="1">
      <alignment vertical="center"/>
    </xf>
    <xf numFmtId="0" fontId="0" fillId="0" borderId="25" xfId="0" applyBorder="1"/>
    <xf numFmtId="0" fontId="10" fillId="0" borderId="29" xfId="0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 textRotation="90" wrapText="1"/>
    </xf>
    <xf numFmtId="0" fontId="0" fillId="0" borderId="4" xfId="0" applyBorder="1" applyAlignment="1">
      <alignment horizontal="center"/>
    </xf>
    <xf numFmtId="0" fontId="14" fillId="0" borderId="4" xfId="0" applyFont="1" applyBorder="1"/>
    <xf numFmtId="0" fontId="5" fillId="0" borderId="3" xfId="0" applyFont="1" applyFill="1" applyBorder="1" applyAlignment="1">
      <alignment horizontal="center" vertical="center"/>
    </xf>
    <xf numFmtId="0" fontId="9" fillId="0" borderId="39" xfId="0" applyFont="1" applyBorder="1" applyAlignment="1">
      <alignment vertical="center"/>
    </xf>
    <xf numFmtId="0" fontId="0" fillId="0" borderId="40" xfId="0" applyBorder="1"/>
    <xf numFmtId="0" fontId="0" fillId="0" borderId="12" xfId="0" applyBorder="1"/>
    <xf numFmtId="0" fontId="9" fillId="0" borderId="41" xfId="0" applyFont="1" applyBorder="1" applyAlignment="1">
      <alignment vertical="center" wrapText="1"/>
    </xf>
    <xf numFmtId="0" fontId="9" fillId="0" borderId="43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wrapText="1"/>
    </xf>
    <xf numFmtId="0" fontId="11" fillId="0" borderId="4" xfId="0" applyFont="1" applyBorder="1" applyAlignment="1">
      <alignment vertical="center" wrapText="1"/>
    </xf>
    <xf numFmtId="0" fontId="14" fillId="0" borderId="0" xfId="0" applyFont="1"/>
    <xf numFmtId="0" fontId="14" fillId="0" borderId="10" xfId="0" applyFont="1" applyBorder="1"/>
    <xf numFmtId="0" fontId="0" fillId="0" borderId="5" xfId="0" applyBorder="1"/>
    <xf numFmtId="0" fontId="11" fillId="0" borderId="12" xfId="0" applyFont="1" applyBorder="1"/>
    <xf numFmtId="0" fontId="15" fillId="0" borderId="4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 textRotation="90" wrapText="1"/>
    </xf>
    <xf numFmtId="0" fontId="3" fillId="3" borderId="13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12" xfId="0" applyFont="1" applyBorder="1" applyAlignment="1">
      <alignment horizontal="left" vertical="center"/>
    </xf>
    <xf numFmtId="0" fontId="7" fillId="2" borderId="27" xfId="0" applyFont="1" applyFill="1" applyBorder="1" applyAlignment="1">
      <alignment vertical="center"/>
    </xf>
    <xf numFmtId="0" fontId="7" fillId="2" borderId="28" xfId="0" applyFont="1" applyFill="1" applyBorder="1" applyAlignment="1">
      <alignment vertical="center"/>
    </xf>
    <xf numFmtId="0" fontId="7" fillId="2" borderId="38" xfId="0" applyFont="1" applyFill="1" applyBorder="1" applyAlignment="1">
      <alignment vertic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7" fillId="2" borderId="3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3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0" borderId="33" xfId="0" applyFont="1" applyBorder="1" applyAlignment="1">
      <alignment horizontal="left"/>
    </xf>
    <xf numFmtId="0" fontId="7" fillId="2" borderId="13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3" fillId="3" borderId="34" xfId="0" applyFont="1" applyFill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1" fillId="0" borderId="1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0" xfId="0" applyFont="1" applyFill="1" applyBorder="1" applyAlignment="1">
      <alignment horizontal="center" vertical="center" textRotation="90" wrapText="1"/>
    </xf>
    <xf numFmtId="0" fontId="7" fillId="2" borderId="1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11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35" workbookViewId="0">
      <selection activeCell="I47" sqref="C47:I50"/>
    </sheetView>
  </sheetViews>
  <sheetFormatPr baseColWidth="10" defaultRowHeight="14.5" x14ac:dyDescent="0.35"/>
  <cols>
    <col min="1" max="1" width="8.54296875" customWidth="1"/>
    <col min="2" max="2" width="35.1796875" customWidth="1"/>
    <col min="3" max="3" width="15.54296875" customWidth="1"/>
    <col min="4" max="4" width="12.26953125" customWidth="1"/>
    <col min="5" max="5" width="12.453125" customWidth="1"/>
    <col min="6" max="6" width="13.54296875" customWidth="1"/>
  </cols>
  <sheetData>
    <row r="1" spans="1:6" ht="33.75" customHeight="1" thickBot="1" x14ac:dyDescent="0.4">
      <c r="A1" s="73" t="s">
        <v>0</v>
      </c>
      <c r="B1" s="74"/>
      <c r="C1" s="74"/>
      <c r="D1" s="74"/>
      <c r="E1" s="74"/>
      <c r="F1" s="74"/>
    </row>
    <row r="2" spans="1:6" ht="34.5" customHeight="1" thickBot="1" x14ac:dyDescent="0.4">
      <c r="A2" s="75" t="s">
        <v>153</v>
      </c>
      <c r="B2" s="76"/>
      <c r="C2" s="76"/>
      <c r="D2" s="76"/>
      <c r="E2" s="76"/>
      <c r="F2" s="77"/>
    </row>
    <row r="3" spans="1:6" ht="19.5" customHeight="1" thickBot="1" x14ac:dyDescent="0.4">
      <c r="A3" s="83" t="s">
        <v>155</v>
      </c>
      <c r="B3" s="87"/>
      <c r="C3" s="87"/>
      <c r="D3" s="87"/>
      <c r="E3" s="87"/>
      <c r="F3" s="84"/>
    </row>
    <row r="4" spans="1:6" ht="21.75" customHeight="1" thickBot="1" x14ac:dyDescent="0.4">
      <c r="A4" s="85" t="s">
        <v>154</v>
      </c>
      <c r="B4" s="86"/>
      <c r="C4" s="86"/>
      <c r="D4" s="86"/>
      <c r="E4" s="83" t="s">
        <v>7</v>
      </c>
      <c r="F4" s="84"/>
    </row>
    <row r="5" spans="1:6" ht="25.5" customHeight="1" thickBot="1" x14ac:dyDescent="0.4">
      <c r="A5" s="80" t="s">
        <v>23</v>
      </c>
      <c r="B5" s="89" t="s">
        <v>1</v>
      </c>
      <c r="C5" s="90"/>
      <c r="D5" s="90"/>
      <c r="E5" s="91"/>
      <c r="F5" s="91"/>
    </row>
    <row r="6" spans="1:6" ht="17.25" customHeight="1" thickBot="1" x14ac:dyDescent="0.4">
      <c r="A6" s="81"/>
      <c r="B6" s="71" t="s">
        <v>143</v>
      </c>
      <c r="C6" s="72"/>
      <c r="D6" s="92">
        <v>50</v>
      </c>
      <c r="E6" s="93"/>
      <c r="F6" s="93"/>
    </row>
    <row r="7" spans="1:6" ht="18.75" customHeight="1" x14ac:dyDescent="0.35">
      <c r="A7" s="82"/>
      <c r="B7" s="88" t="s">
        <v>2</v>
      </c>
      <c r="C7" s="88"/>
      <c r="D7" s="88"/>
      <c r="E7" s="88"/>
      <c r="F7" s="88"/>
    </row>
    <row r="8" spans="1:6" ht="46" x14ac:dyDescent="0.35">
      <c r="A8" s="82"/>
      <c r="B8" s="15" t="s">
        <v>98</v>
      </c>
      <c r="C8" s="1" t="s">
        <v>99</v>
      </c>
      <c r="D8" s="1" t="s">
        <v>117</v>
      </c>
      <c r="E8" s="1" t="s">
        <v>156</v>
      </c>
      <c r="F8" s="1" t="s">
        <v>101</v>
      </c>
    </row>
    <row r="9" spans="1:6" ht="18" customHeight="1" x14ac:dyDescent="0.35">
      <c r="A9" s="82"/>
      <c r="B9" s="6" t="s">
        <v>24</v>
      </c>
      <c r="C9" s="11">
        <v>1</v>
      </c>
      <c r="D9" s="5"/>
      <c r="E9" s="5"/>
      <c r="F9" s="5"/>
    </row>
    <row r="10" spans="1:6" ht="19.5" customHeight="1" x14ac:dyDescent="0.35">
      <c r="A10" s="82"/>
      <c r="B10" s="6" t="s">
        <v>12</v>
      </c>
      <c r="C10" s="5"/>
      <c r="D10" s="5"/>
      <c r="E10" s="19"/>
      <c r="F10" s="5"/>
    </row>
    <row r="11" spans="1:6" ht="22.5" customHeight="1" x14ac:dyDescent="0.35">
      <c r="A11" s="82"/>
      <c r="B11" s="6" t="s">
        <v>8</v>
      </c>
      <c r="C11" s="19"/>
      <c r="D11" s="8">
        <v>3</v>
      </c>
      <c r="E11" s="5"/>
      <c r="F11" s="5"/>
    </row>
    <row r="12" spans="1:6" ht="20.25" customHeight="1" x14ac:dyDescent="0.35">
      <c r="A12" s="82"/>
      <c r="B12" s="6" t="s">
        <v>25</v>
      </c>
      <c r="C12" s="5"/>
      <c r="D12" s="5"/>
      <c r="E12" s="19"/>
      <c r="F12" s="5"/>
    </row>
    <row r="13" spans="1:6" ht="42" x14ac:dyDescent="0.35">
      <c r="A13" s="82"/>
      <c r="B13" s="7" t="s">
        <v>26</v>
      </c>
      <c r="C13" s="5"/>
      <c r="D13" s="5"/>
      <c r="E13" s="19"/>
      <c r="F13" s="5"/>
    </row>
    <row r="14" spans="1:6" ht="21" customHeight="1" x14ac:dyDescent="0.35">
      <c r="A14" s="82"/>
      <c r="B14" s="6" t="s">
        <v>28</v>
      </c>
      <c r="C14" s="11">
        <v>3</v>
      </c>
      <c r="D14" s="5"/>
      <c r="E14" s="5"/>
      <c r="F14" s="5"/>
    </row>
    <row r="15" spans="1:6" ht="18" customHeight="1" x14ac:dyDescent="0.35">
      <c r="A15" s="82"/>
      <c r="B15" s="6" t="s">
        <v>29</v>
      </c>
      <c r="C15" s="5"/>
      <c r="D15" s="5"/>
      <c r="E15" s="19"/>
      <c r="F15" s="5"/>
    </row>
    <row r="16" spans="1:6" ht="21.75" customHeight="1" x14ac:dyDescent="0.35">
      <c r="A16" s="82"/>
      <c r="B16" s="6" t="s">
        <v>30</v>
      </c>
      <c r="C16" s="5"/>
      <c r="D16" s="5"/>
      <c r="E16" s="19"/>
      <c r="F16" s="5"/>
    </row>
    <row r="17" spans="1:6" ht="21.75" customHeight="1" x14ac:dyDescent="0.35">
      <c r="A17" s="82"/>
      <c r="B17" s="6" t="s">
        <v>36</v>
      </c>
      <c r="C17" s="52">
        <v>2</v>
      </c>
      <c r="D17" s="5"/>
      <c r="E17" s="19"/>
      <c r="F17" s="5"/>
    </row>
    <row r="18" spans="1:6" ht="22.5" customHeight="1" x14ac:dyDescent="0.35">
      <c r="A18" s="82"/>
      <c r="B18" s="6" t="s">
        <v>31</v>
      </c>
      <c r="C18" s="5"/>
      <c r="D18" s="5"/>
      <c r="E18" s="19"/>
      <c r="F18" s="5"/>
    </row>
    <row r="19" spans="1:6" ht="20.25" customHeight="1" x14ac:dyDescent="0.35">
      <c r="A19" s="82"/>
      <c r="B19" s="6" t="s">
        <v>32</v>
      </c>
      <c r="C19" s="5"/>
      <c r="D19" s="5"/>
      <c r="E19" s="19"/>
      <c r="F19" s="5"/>
    </row>
    <row r="20" spans="1:6" ht="24.75" customHeight="1" x14ac:dyDescent="0.35">
      <c r="A20" s="82"/>
      <c r="B20" s="6" t="s">
        <v>33</v>
      </c>
      <c r="C20" s="5"/>
      <c r="D20" s="5"/>
      <c r="E20" s="19"/>
      <c r="F20" s="5"/>
    </row>
    <row r="21" spans="1:6" ht="24.75" customHeight="1" x14ac:dyDescent="0.35">
      <c r="A21" s="82"/>
      <c r="B21" s="16" t="s">
        <v>34</v>
      </c>
      <c r="C21" s="11">
        <v>1</v>
      </c>
      <c r="D21" s="5"/>
      <c r="E21" s="5"/>
      <c r="F21" s="5"/>
    </row>
    <row r="22" spans="1:6" ht="33" customHeight="1" x14ac:dyDescent="0.35">
      <c r="A22" s="82"/>
      <c r="B22" s="18" t="s">
        <v>9</v>
      </c>
      <c r="D22" s="5"/>
      <c r="E22" s="19"/>
      <c r="F22" s="5"/>
    </row>
    <row r="23" spans="1:6" ht="18.75" customHeight="1" x14ac:dyDescent="0.35">
      <c r="A23" s="82"/>
      <c r="B23" s="16" t="s">
        <v>35</v>
      </c>
      <c r="C23" s="11">
        <v>1</v>
      </c>
      <c r="D23" s="5"/>
      <c r="E23" s="5"/>
      <c r="F23" s="5"/>
    </row>
    <row r="24" spans="1:6" ht="22.5" customHeight="1" x14ac:dyDescent="0.35">
      <c r="A24" s="82"/>
      <c r="B24" s="6" t="s">
        <v>36</v>
      </c>
      <c r="C24" s="5"/>
      <c r="D24" s="5"/>
      <c r="E24" s="19"/>
      <c r="F24" s="5"/>
    </row>
    <row r="25" spans="1:6" ht="28.5" x14ac:dyDescent="0.35">
      <c r="A25" s="82"/>
      <c r="B25" s="9" t="s">
        <v>37</v>
      </c>
      <c r="C25" s="5"/>
      <c r="D25" s="5"/>
      <c r="E25" s="19"/>
      <c r="F25" s="5"/>
    </row>
    <row r="26" spans="1:6" ht="21" customHeight="1" x14ac:dyDescent="0.35">
      <c r="A26" s="82"/>
      <c r="B26" s="6" t="s">
        <v>38</v>
      </c>
      <c r="C26" s="5"/>
      <c r="D26" s="5"/>
      <c r="E26" s="19"/>
      <c r="F26" s="5"/>
    </row>
    <row r="27" spans="1:6" ht="20.25" customHeight="1" x14ac:dyDescent="0.35">
      <c r="A27" s="82"/>
      <c r="B27" s="16" t="s">
        <v>39</v>
      </c>
      <c r="C27" s="11">
        <v>2</v>
      </c>
      <c r="D27" s="5"/>
      <c r="E27" s="5"/>
      <c r="F27" s="5"/>
    </row>
    <row r="28" spans="1:6" ht="35.25" customHeight="1" x14ac:dyDescent="0.35">
      <c r="A28" s="82"/>
      <c r="B28" s="18" t="s">
        <v>40</v>
      </c>
      <c r="C28" s="11"/>
      <c r="D28" s="5"/>
      <c r="E28" s="19"/>
      <c r="F28" s="5"/>
    </row>
    <row r="29" spans="1:6" ht="20.25" customHeight="1" x14ac:dyDescent="0.35">
      <c r="A29" s="82"/>
      <c r="B29" s="16" t="s">
        <v>41</v>
      </c>
      <c r="C29" s="11">
        <v>5</v>
      </c>
      <c r="D29" s="5"/>
      <c r="E29" s="5"/>
      <c r="F29" s="5"/>
    </row>
    <row r="30" spans="1:6" ht="23.25" customHeight="1" x14ac:dyDescent="0.35">
      <c r="A30" s="82"/>
      <c r="B30" s="16" t="s">
        <v>42</v>
      </c>
      <c r="C30" s="11">
        <v>5</v>
      </c>
      <c r="D30" s="5"/>
      <c r="E30" s="5"/>
      <c r="F30" s="5"/>
    </row>
    <row r="31" spans="1:6" ht="28.5" x14ac:dyDescent="0.35">
      <c r="A31" s="82"/>
      <c r="B31" s="18" t="s">
        <v>43</v>
      </c>
      <c r="C31" s="11"/>
      <c r="D31" s="5"/>
      <c r="E31" s="19"/>
      <c r="F31" s="5"/>
    </row>
    <row r="32" spans="1:6" ht="24" customHeight="1" x14ac:dyDescent="0.35">
      <c r="A32" s="82"/>
      <c r="B32" s="16" t="s">
        <v>10</v>
      </c>
      <c r="C32" s="11">
        <v>8</v>
      </c>
      <c r="D32" s="5"/>
      <c r="E32" s="5"/>
      <c r="F32" s="5"/>
    </row>
    <row r="33" spans="1:6" ht="19.5" customHeight="1" x14ac:dyDescent="0.35">
      <c r="A33" s="82"/>
      <c r="B33" s="17" t="s">
        <v>104</v>
      </c>
      <c r="C33" s="11">
        <v>2</v>
      </c>
      <c r="D33" s="5"/>
      <c r="E33" s="5"/>
      <c r="F33" s="5"/>
    </row>
    <row r="34" spans="1:6" ht="23.25" customHeight="1" x14ac:dyDescent="0.35">
      <c r="A34" s="82"/>
      <c r="B34" s="17" t="s">
        <v>105</v>
      </c>
      <c r="C34" s="11">
        <v>2</v>
      </c>
      <c r="D34" s="5"/>
      <c r="E34" s="5"/>
      <c r="F34" s="5"/>
    </row>
    <row r="35" spans="1:6" ht="21.75" customHeight="1" x14ac:dyDescent="0.35">
      <c r="A35" s="82"/>
      <c r="B35" s="17" t="s">
        <v>116</v>
      </c>
      <c r="C35" s="11">
        <v>1</v>
      </c>
      <c r="D35" s="5"/>
      <c r="E35" s="5"/>
      <c r="F35" s="5"/>
    </row>
    <row r="36" spans="1:6" ht="21.75" customHeight="1" x14ac:dyDescent="0.35">
      <c r="A36" s="82"/>
      <c r="B36" s="17" t="s">
        <v>106</v>
      </c>
      <c r="C36" s="11">
        <v>5</v>
      </c>
      <c r="D36" s="5"/>
      <c r="E36" s="5"/>
      <c r="F36" s="5"/>
    </row>
    <row r="37" spans="1:6" ht="19.5" customHeight="1" x14ac:dyDescent="0.35">
      <c r="A37" s="82"/>
      <c r="B37" s="17" t="s">
        <v>107</v>
      </c>
      <c r="C37" s="11">
        <v>3</v>
      </c>
      <c r="D37" s="5"/>
      <c r="E37" s="5"/>
      <c r="F37" s="5"/>
    </row>
    <row r="38" spans="1:6" ht="19.5" customHeight="1" x14ac:dyDescent="0.35">
      <c r="A38" s="82"/>
      <c r="B38" s="17" t="s">
        <v>162</v>
      </c>
      <c r="C38" s="11"/>
      <c r="D38" s="5"/>
      <c r="E38" s="5"/>
      <c r="F38" s="5"/>
    </row>
    <row r="39" spans="1:6" ht="18.75" customHeight="1" x14ac:dyDescent="0.35">
      <c r="A39" s="82"/>
      <c r="B39" s="17" t="s">
        <v>108</v>
      </c>
      <c r="C39" s="11">
        <v>3</v>
      </c>
      <c r="D39" s="5"/>
      <c r="E39" s="5"/>
      <c r="F39" s="5"/>
    </row>
    <row r="40" spans="1:6" ht="21" customHeight="1" x14ac:dyDescent="0.35">
      <c r="A40" s="82"/>
      <c r="B40" s="17" t="s">
        <v>109</v>
      </c>
      <c r="C40" s="11">
        <v>2</v>
      </c>
      <c r="D40" s="5"/>
      <c r="E40" s="5"/>
      <c r="F40" s="5"/>
    </row>
    <row r="41" spans="1:6" ht="21.75" customHeight="1" x14ac:dyDescent="0.35">
      <c r="A41" s="82"/>
      <c r="B41" s="17" t="s">
        <v>110</v>
      </c>
      <c r="C41" s="11">
        <v>3</v>
      </c>
      <c r="D41" s="5"/>
      <c r="E41" s="5"/>
      <c r="F41" s="5"/>
    </row>
    <row r="42" spans="1:6" ht="22.5" customHeight="1" thickBot="1" x14ac:dyDescent="0.4">
      <c r="A42" s="82"/>
      <c r="B42" s="38" t="s">
        <v>111</v>
      </c>
      <c r="C42" s="54">
        <v>2</v>
      </c>
      <c r="D42" s="14"/>
      <c r="E42" s="32"/>
      <c r="F42" s="14"/>
    </row>
    <row r="43" spans="1:6" ht="30.75" customHeight="1" thickBot="1" x14ac:dyDescent="0.4">
      <c r="A43" s="40" t="s">
        <v>151</v>
      </c>
      <c r="B43" s="28" t="s">
        <v>152</v>
      </c>
      <c r="C43" s="46"/>
      <c r="D43" s="42"/>
      <c r="E43" s="42"/>
      <c r="F43" s="42"/>
    </row>
    <row r="44" spans="1:6" ht="25.5" customHeight="1" thickBot="1" x14ac:dyDescent="0.4">
      <c r="A44" s="78" t="s">
        <v>144</v>
      </c>
      <c r="B44" s="79"/>
      <c r="C44" s="47">
        <f>SUM(C9:C42)</f>
        <v>51</v>
      </c>
      <c r="D44" s="43">
        <v>3</v>
      </c>
      <c r="E44" s="44"/>
      <c r="F44" s="45">
        <v>71</v>
      </c>
    </row>
    <row r="46" spans="1:6" x14ac:dyDescent="0.35">
      <c r="A46" t="s">
        <v>169</v>
      </c>
      <c r="D46" t="s">
        <v>170</v>
      </c>
    </row>
    <row r="50" spans="1:4" x14ac:dyDescent="0.35">
      <c r="A50" t="s">
        <v>171</v>
      </c>
      <c r="D50" t="s">
        <v>172</v>
      </c>
    </row>
    <row r="51" spans="1:4" x14ac:dyDescent="0.35">
      <c r="A51" t="s">
        <v>173</v>
      </c>
      <c r="D51" t="s">
        <v>174</v>
      </c>
    </row>
    <row r="52" spans="1:4" x14ac:dyDescent="0.35">
      <c r="A52" t="s">
        <v>175</v>
      </c>
      <c r="D52" t="s">
        <v>176</v>
      </c>
    </row>
  </sheetData>
  <mergeCells count="11">
    <mergeCell ref="B6:C6"/>
    <mergeCell ref="A1:F1"/>
    <mergeCell ref="A2:F2"/>
    <mergeCell ref="A44:B44"/>
    <mergeCell ref="A5:A42"/>
    <mergeCell ref="E4:F4"/>
    <mergeCell ref="A4:D4"/>
    <mergeCell ref="A3:F3"/>
    <mergeCell ref="B7:F7"/>
    <mergeCell ref="B5:F5"/>
    <mergeCell ref="D6:F6"/>
  </mergeCells>
  <pageMargins left="0.31496062992125984" right="0.11811023622047245" top="0.35433070866141736" bottom="0.15748031496062992" header="0.31496062992125984" footer="0.31496062992125984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28" workbookViewId="0">
      <selection activeCell="A42" sqref="A42:E48"/>
    </sheetView>
  </sheetViews>
  <sheetFormatPr baseColWidth="10" defaultRowHeight="14.5" x14ac:dyDescent="0.35"/>
  <cols>
    <col min="1" max="1" width="8" customWidth="1"/>
    <col min="2" max="2" width="32.81640625" customWidth="1"/>
    <col min="3" max="3" width="16.453125" customWidth="1"/>
    <col min="4" max="4" width="10.54296875" customWidth="1"/>
    <col min="5" max="5" width="14.453125" customWidth="1"/>
    <col min="6" max="6" width="13.1796875" customWidth="1"/>
    <col min="8" max="8" width="16.453125" customWidth="1"/>
  </cols>
  <sheetData>
    <row r="1" spans="1:8" ht="33.75" customHeight="1" thickBot="1" x14ac:dyDescent="0.4">
      <c r="A1" s="94" t="s">
        <v>0</v>
      </c>
      <c r="B1" s="95"/>
      <c r="C1" s="95"/>
      <c r="D1" s="95"/>
      <c r="E1" s="95"/>
      <c r="F1" s="95"/>
      <c r="G1" s="95"/>
      <c r="H1" s="96"/>
    </row>
    <row r="2" spans="1:8" ht="18.75" customHeight="1" thickBot="1" x14ac:dyDescent="0.4">
      <c r="A2" s="75" t="s">
        <v>153</v>
      </c>
      <c r="B2" s="76"/>
      <c r="C2" s="76"/>
      <c r="D2" s="76"/>
      <c r="E2" s="76"/>
      <c r="F2" s="76"/>
      <c r="G2" s="76"/>
      <c r="H2" s="77"/>
    </row>
    <row r="3" spans="1:8" ht="17.25" customHeight="1" thickBot="1" x14ac:dyDescent="0.4">
      <c r="A3" s="83" t="s">
        <v>160</v>
      </c>
      <c r="B3" s="87"/>
      <c r="C3" s="87"/>
      <c r="D3" s="87"/>
      <c r="E3" s="87"/>
      <c r="F3" s="87"/>
      <c r="G3" s="87"/>
      <c r="H3" s="84"/>
    </row>
    <row r="4" spans="1:8" ht="24" customHeight="1" thickBot="1" x14ac:dyDescent="0.4">
      <c r="A4" s="83" t="s">
        <v>158</v>
      </c>
      <c r="B4" s="87"/>
      <c r="C4" s="87"/>
      <c r="D4" s="84"/>
      <c r="E4" s="83" t="s">
        <v>7</v>
      </c>
      <c r="F4" s="87"/>
      <c r="G4" s="87"/>
      <c r="H4" s="84"/>
    </row>
    <row r="5" spans="1:8" ht="21" customHeight="1" thickBot="1" x14ac:dyDescent="0.4">
      <c r="A5" s="101" t="s">
        <v>23</v>
      </c>
      <c r="B5" s="102" t="s">
        <v>6</v>
      </c>
      <c r="C5" s="102"/>
      <c r="D5" s="102"/>
      <c r="E5" s="102"/>
      <c r="F5" s="102"/>
      <c r="G5" s="102"/>
      <c r="H5" s="102"/>
    </row>
    <row r="6" spans="1:8" ht="27" customHeight="1" thickBot="1" x14ac:dyDescent="0.4">
      <c r="A6" s="101"/>
      <c r="B6" s="71" t="s">
        <v>147</v>
      </c>
      <c r="C6" s="72"/>
      <c r="D6" s="103">
        <v>28</v>
      </c>
      <c r="E6" s="104"/>
      <c r="F6" s="104"/>
      <c r="G6" s="104"/>
      <c r="H6" s="105"/>
    </row>
    <row r="7" spans="1:8" ht="29.25" customHeight="1" thickBot="1" x14ac:dyDescent="0.4">
      <c r="A7" s="101"/>
      <c r="B7" s="106" t="s">
        <v>2</v>
      </c>
      <c r="C7" s="107"/>
      <c r="D7" s="107"/>
      <c r="E7" s="107"/>
      <c r="F7" s="107"/>
      <c r="G7" s="107"/>
      <c r="H7" s="108"/>
    </row>
    <row r="8" spans="1:8" ht="46" x14ac:dyDescent="0.35">
      <c r="A8" s="101"/>
      <c r="B8" s="33" t="s">
        <v>98</v>
      </c>
      <c r="C8" s="34" t="s">
        <v>99</v>
      </c>
      <c r="D8" s="34" t="s">
        <v>117</v>
      </c>
      <c r="E8" s="34" t="s">
        <v>100</v>
      </c>
      <c r="F8" s="34" t="s">
        <v>101</v>
      </c>
      <c r="G8" s="35" t="s">
        <v>102</v>
      </c>
      <c r="H8" s="35" t="s">
        <v>103</v>
      </c>
    </row>
    <row r="9" spans="1:8" x14ac:dyDescent="0.35">
      <c r="A9" s="101"/>
      <c r="B9" s="6" t="s">
        <v>44</v>
      </c>
      <c r="C9" s="11">
        <v>1</v>
      </c>
      <c r="D9" s="5"/>
      <c r="E9" s="5"/>
      <c r="F9" s="5"/>
      <c r="G9" s="5"/>
      <c r="H9" s="5"/>
    </row>
    <row r="10" spans="1:8" x14ac:dyDescent="0.35">
      <c r="A10" s="101"/>
      <c r="B10" s="9" t="s">
        <v>45</v>
      </c>
      <c r="C10" s="11">
        <v>2</v>
      </c>
      <c r="D10" s="5"/>
      <c r="E10" s="5"/>
      <c r="F10" s="5"/>
      <c r="G10" s="5"/>
      <c r="H10" s="5"/>
    </row>
    <row r="11" spans="1:8" ht="24.75" customHeight="1" x14ac:dyDescent="0.35">
      <c r="A11" s="101"/>
      <c r="B11" s="6" t="s">
        <v>46</v>
      </c>
      <c r="C11" s="11">
        <v>1</v>
      </c>
      <c r="D11" s="5"/>
      <c r="E11" s="5"/>
      <c r="F11" s="5"/>
      <c r="G11" s="5"/>
      <c r="H11" s="5"/>
    </row>
    <row r="12" spans="1:8" ht="24" customHeight="1" x14ac:dyDescent="0.35">
      <c r="A12" s="101"/>
      <c r="B12" s="6" t="s">
        <v>47</v>
      </c>
      <c r="C12" s="11">
        <v>6</v>
      </c>
      <c r="D12" s="5"/>
      <c r="E12" s="5"/>
      <c r="F12" s="5"/>
      <c r="G12" s="5"/>
      <c r="H12" s="5"/>
    </row>
    <row r="13" spans="1:8" ht="22.5" customHeight="1" x14ac:dyDescent="0.35">
      <c r="A13" s="101"/>
      <c r="B13" s="6" t="s">
        <v>48</v>
      </c>
      <c r="C13" s="11">
        <v>1</v>
      </c>
      <c r="D13" s="5"/>
      <c r="E13" s="5"/>
      <c r="F13" s="5"/>
      <c r="G13" s="5"/>
      <c r="H13" s="5"/>
    </row>
    <row r="14" spans="1:8" ht="28.5" x14ac:dyDescent="0.35">
      <c r="A14" s="101"/>
      <c r="B14" s="9" t="s">
        <v>49</v>
      </c>
      <c r="C14" s="11"/>
      <c r="D14" s="5"/>
      <c r="E14" s="20" t="s">
        <v>146</v>
      </c>
      <c r="F14" s="5"/>
      <c r="G14" s="5"/>
      <c r="H14" s="5"/>
    </row>
    <row r="15" spans="1:8" ht="21.75" customHeight="1" x14ac:dyDescent="0.35">
      <c r="A15" s="101"/>
      <c r="B15" s="6" t="s">
        <v>50</v>
      </c>
      <c r="C15" s="11">
        <v>3</v>
      </c>
      <c r="D15" s="5"/>
      <c r="E15" s="5"/>
      <c r="F15" s="5"/>
      <c r="G15" s="5"/>
      <c r="H15" s="5"/>
    </row>
    <row r="16" spans="1:8" ht="22.5" customHeight="1" x14ac:dyDescent="0.35">
      <c r="A16" s="101"/>
      <c r="B16" s="6" t="s">
        <v>51</v>
      </c>
      <c r="C16" s="11">
        <v>1</v>
      </c>
      <c r="D16" s="5"/>
      <c r="E16" s="5"/>
      <c r="F16" s="5"/>
      <c r="G16" s="5"/>
      <c r="H16" s="5"/>
    </row>
    <row r="17" spans="1:8" ht="24" customHeight="1" x14ac:dyDescent="0.35">
      <c r="A17" s="101"/>
      <c r="B17" s="6" t="s">
        <v>52</v>
      </c>
      <c r="C17" s="11">
        <v>5</v>
      </c>
      <c r="D17" s="5"/>
      <c r="E17" s="5"/>
      <c r="F17" s="5"/>
      <c r="G17" s="5"/>
      <c r="H17" s="5"/>
    </row>
    <row r="18" spans="1:8" ht="20.25" customHeight="1" x14ac:dyDescent="0.35">
      <c r="A18" s="101"/>
      <c r="B18" s="6" t="s">
        <v>53</v>
      </c>
      <c r="C18" s="11"/>
      <c r="D18" s="5"/>
      <c r="E18" s="20" t="s">
        <v>146</v>
      </c>
      <c r="F18" s="5"/>
      <c r="G18" s="5"/>
      <c r="H18" s="5"/>
    </row>
    <row r="19" spans="1:8" ht="21.75" customHeight="1" x14ac:dyDescent="0.35">
      <c r="A19" s="101"/>
      <c r="B19" s="6" t="s">
        <v>54</v>
      </c>
      <c r="C19" s="11"/>
      <c r="D19" s="5"/>
      <c r="E19" s="20" t="s">
        <v>146</v>
      </c>
      <c r="F19" s="5"/>
      <c r="G19" s="5"/>
      <c r="H19" s="5"/>
    </row>
    <row r="20" spans="1:8" x14ac:dyDescent="0.35">
      <c r="A20" s="101"/>
      <c r="B20" s="6" t="s">
        <v>55</v>
      </c>
      <c r="C20" s="11"/>
      <c r="D20" s="5"/>
      <c r="E20" s="20" t="s">
        <v>146</v>
      </c>
      <c r="F20" s="5"/>
      <c r="G20" s="5"/>
      <c r="H20" s="5"/>
    </row>
    <row r="21" spans="1:8" x14ac:dyDescent="0.35">
      <c r="A21" s="101"/>
      <c r="B21" s="6" t="s">
        <v>56</v>
      </c>
      <c r="C21" s="11"/>
      <c r="D21" s="5"/>
      <c r="E21" s="20" t="s">
        <v>146</v>
      </c>
      <c r="F21" s="5"/>
      <c r="G21" s="5"/>
      <c r="H21" s="5"/>
    </row>
    <row r="22" spans="1:8" ht="28.5" x14ac:dyDescent="0.35">
      <c r="A22" s="101"/>
      <c r="B22" s="9" t="s">
        <v>57</v>
      </c>
      <c r="C22" s="11"/>
      <c r="D22" s="5"/>
      <c r="E22" s="20" t="s">
        <v>146</v>
      </c>
      <c r="F22" s="5"/>
      <c r="G22" s="5"/>
      <c r="H22" s="5"/>
    </row>
    <row r="23" spans="1:8" ht="25.5" customHeight="1" x14ac:dyDescent="0.35">
      <c r="A23" s="101"/>
      <c r="B23" s="6" t="s">
        <v>58</v>
      </c>
      <c r="C23" s="11"/>
      <c r="D23" s="5"/>
      <c r="E23" s="20" t="s">
        <v>146</v>
      </c>
      <c r="F23" s="5"/>
      <c r="G23" s="5"/>
      <c r="H23" s="5"/>
    </row>
    <row r="24" spans="1:8" ht="20.25" customHeight="1" x14ac:dyDescent="0.35">
      <c r="A24" s="101"/>
      <c r="B24" s="6" t="s">
        <v>59</v>
      </c>
      <c r="C24" s="11">
        <v>1</v>
      </c>
      <c r="D24" s="5"/>
      <c r="E24" s="5"/>
      <c r="F24" s="5"/>
      <c r="G24" s="5"/>
      <c r="H24" s="5"/>
    </row>
    <row r="25" spans="1:8" ht="33.75" customHeight="1" x14ac:dyDescent="0.35">
      <c r="A25" s="101"/>
      <c r="B25" s="9" t="s">
        <v>60</v>
      </c>
      <c r="C25" s="11"/>
      <c r="D25" s="5"/>
      <c r="E25" s="20" t="s">
        <v>146</v>
      </c>
      <c r="F25" s="5"/>
      <c r="G25" s="5"/>
      <c r="H25" s="5"/>
    </row>
    <row r="26" spans="1:8" ht="26.25" customHeight="1" x14ac:dyDescent="0.35">
      <c r="A26" s="101"/>
      <c r="B26" s="6" t="s">
        <v>61</v>
      </c>
      <c r="C26" s="11">
        <v>1</v>
      </c>
      <c r="D26" s="5"/>
      <c r="E26" s="5"/>
      <c r="F26" s="5"/>
      <c r="G26" s="5"/>
      <c r="H26" s="5"/>
    </row>
    <row r="27" spans="1:8" ht="22.5" customHeight="1" x14ac:dyDescent="0.35">
      <c r="A27" s="101"/>
      <c r="B27" s="6" t="s">
        <v>62</v>
      </c>
      <c r="C27" s="11">
        <v>3</v>
      </c>
      <c r="D27" s="5"/>
      <c r="E27" s="5"/>
      <c r="F27" s="5"/>
      <c r="G27" s="5"/>
      <c r="H27" s="5"/>
    </row>
    <row r="28" spans="1:8" ht="21.75" customHeight="1" x14ac:dyDescent="0.35">
      <c r="A28" s="101"/>
      <c r="B28" s="6" t="s">
        <v>11</v>
      </c>
      <c r="C28" s="11"/>
      <c r="D28" s="5"/>
      <c r="E28" s="20" t="s">
        <v>146</v>
      </c>
      <c r="F28" s="5"/>
      <c r="G28" s="5"/>
      <c r="H28" s="5"/>
    </row>
    <row r="29" spans="1:8" ht="21" customHeight="1" x14ac:dyDescent="0.35">
      <c r="A29" s="101"/>
      <c r="B29" s="6" t="s">
        <v>63</v>
      </c>
      <c r="C29" s="11">
        <v>3</v>
      </c>
      <c r="D29" s="5"/>
      <c r="E29" s="5"/>
      <c r="F29" s="5"/>
      <c r="G29" s="5"/>
      <c r="H29" s="5"/>
    </row>
    <row r="30" spans="1:8" ht="28.5" x14ac:dyDescent="0.35">
      <c r="A30" s="101"/>
      <c r="B30" s="9" t="s">
        <v>64</v>
      </c>
      <c r="C30" s="11"/>
      <c r="D30" s="5"/>
      <c r="E30" s="20" t="s">
        <v>146</v>
      </c>
      <c r="F30" s="5"/>
      <c r="G30" s="5"/>
      <c r="H30" s="5"/>
    </row>
    <row r="31" spans="1:8" ht="28.5" x14ac:dyDescent="0.35">
      <c r="A31" s="101"/>
      <c r="B31" s="9" t="s">
        <v>65</v>
      </c>
      <c r="C31" s="11"/>
      <c r="D31" s="5"/>
      <c r="E31" s="20" t="s">
        <v>146</v>
      </c>
      <c r="F31" s="5"/>
      <c r="G31" s="5"/>
      <c r="H31" s="5"/>
    </row>
    <row r="32" spans="1:8" ht="22.5" customHeight="1" x14ac:dyDescent="0.35">
      <c r="A32" s="101"/>
      <c r="B32" s="6" t="s">
        <v>119</v>
      </c>
      <c r="C32" s="11"/>
      <c r="D32" s="5"/>
      <c r="E32" s="20" t="s">
        <v>146</v>
      </c>
      <c r="F32" s="5"/>
      <c r="G32" s="5"/>
      <c r="H32" s="5"/>
    </row>
    <row r="33" spans="1:8" ht="23.25" customHeight="1" x14ac:dyDescent="0.35">
      <c r="A33" s="101"/>
      <c r="B33" s="6" t="s">
        <v>120</v>
      </c>
      <c r="C33" s="11"/>
      <c r="D33" s="5"/>
      <c r="E33" s="20" t="s">
        <v>146</v>
      </c>
      <c r="F33" s="5"/>
      <c r="G33" s="5"/>
      <c r="H33" s="5"/>
    </row>
    <row r="34" spans="1:8" ht="20.25" customHeight="1" x14ac:dyDescent="0.35">
      <c r="A34" s="101"/>
      <c r="B34" s="6" t="s">
        <v>121</v>
      </c>
      <c r="C34" s="11"/>
      <c r="D34" s="5"/>
      <c r="E34" s="20" t="s">
        <v>146</v>
      </c>
      <c r="F34" s="5"/>
      <c r="G34" s="5"/>
      <c r="H34" s="5"/>
    </row>
    <row r="35" spans="1:8" ht="22.5" customHeight="1" x14ac:dyDescent="0.35">
      <c r="A35" s="101"/>
      <c r="B35" s="6" t="s">
        <v>122</v>
      </c>
      <c r="C35" s="11"/>
      <c r="D35" s="5"/>
      <c r="E35" s="20" t="s">
        <v>146</v>
      </c>
      <c r="F35" s="5"/>
      <c r="G35" s="5"/>
      <c r="H35" s="5"/>
    </row>
    <row r="36" spans="1:8" ht="21.75" customHeight="1" x14ac:dyDescent="0.35">
      <c r="A36" s="101"/>
      <c r="B36" s="10" t="s">
        <v>123</v>
      </c>
      <c r="C36" s="11"/>
      <c r="D36" s="5"/>
      <c r="E36" s="20" t="s">
        <v>146</v>
      </c>
      <c r="F36" s="5"/>
      <c r="G36" s="5"/>
      <c r="H36" s="5"/>
    </row>
    <row r="37" spans="1:8" ht="19.5" customHeight="1" x14ac:dyDescent="0.35">
      <c r="A37" s="101"/>
      <c r="B37" s="6" t="s">
        <v>124</v>
      </c>
      <c r="C37" s="11"/>
      <c r="D37" s="5"/>
      <c r="E37" s="20" t="s">
        <v>146</v>
      </c>
      <c r="F37" s="5"/>
      <c r="G37" s="5"/>
      <c r="H37" s="5"/>
    </row>
    <row r="38" spans="1:8" ht="15" thickBot="1" x14ac:dyDescent="0.4">
      <c r="A38" s="101"/>
      <c r="B38" s="36"/>
      <c r="C38" s="37"/>
      <c r="D38" s="14"/>
      <c r="E38" s="14"/>
      <c r="F38" s="14"/>
      <c r="G38" s="14"/>
      <c r="H38" s="14"/>
    </row>
    <row r="39" spans="1:8" ht="24.75" customHeight="1" thickBot="1" x14ac:dyDescent="0.4">
      <c r="A39" s="40" t="s">
        <v>151</v>
      </c>
      <c r="B39" s="28" t="s">
        <v>152</v>
      </c>
      <c r="C39" s="46"/>
      <c r="D39" s="42"/>
      <c r="E39" s="42"/>
      <c r="F39" s="42"/>
      <c r="G39" s="99">
        <v>1</v>
      </c>
      <c r="H39" s="30">
        <v>5.75</v>
      </c>
    </row>
    <row r="40" spans="1:8" ht="30.75" customHeight="1" thickBot="1" x14ac:dyDescent="0.4">
      <c r="A40" s="97" t="s">
        <v>144</v>
      </c>
      <c r="B40" s="98"/>
      <c r="C40" s="43">
        <f>SUM(C9:C38)</f>
        <v>28</v>
      </c>
      <c r="D40" s="44"/>
      <c r="E40" s="44"/>
      <c r="F40" s="43">
        <v>109</v>
      </c>
      <c r="G40" s="100"/>
      <c r="H40" s="31">
        <v>5.75</v>
      </c>
    </row>
    <row r="42" spans="1:8" x14ac:dyDescent="0.35">
      <c r="A42" t="s">
        <v>169</v>
      </c>
      <c r="D42" t="s">
        <v>170</v>
      </c>
    </row>
    <row r="46" spans="1:8" x14ac:dyDescent="0.35">
      <c r="A46" t="s">
        <v>171</v>
      </c>
      <c r="D46" t="s">
        <v>172</v>
      </c>
    </row>
    <row r="47" spans="1:8" x14ac:dyDescent="0.35">
      <c r="A47" t="s">
        <v>173</v>
      </c>
      <c r="D47" t="s">
        <v>174</v>
      </c>
    </row>
    <row r="48" spans="1:8" x14ac:dyDescent="0.35">
      <c r="A48" t="s">
        <v>175</v>
      </c>
      <c r="D48" t="s">
        <v>176</v>
      </c>
    </row>
  </sheetData>
  <mergeCells count="12">
    <mergeCell ref="A40:B40"/>
    <mergeCell ref="G39:G40"/>
    <mergeCell ref="A5:A38"/>
    <mergeCell ref="B5:H5"/>
    <mergeCell ref="D6:H6"/>
    <mergeCell ref="B7:H7"/>
    <mergeCell ref="B6:C6"/>
    <mergeCell ref="A1:H1"/>
    <mergeCell ref="A2:H2"/>
    <mergeCell ref="A3:H3"/>
    <mergeCell ref="A4:D4"/>
    <mergeCell ref="E4:H4"/>
  </mergeCells>
  <pageMargins left="0.31496062992125984" right="0.11811023622047245" top="0.35433070866141736" bottom="0.15748031496062992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opLeftCell="A41" workbookViewId="0">
      <selection activeCell="A53" sqref="A53:E59"/>
    </sheetView>
  </sheetViews>
  <sheetFormatPr baseColWidth="10" defaultRowHeight="14.5" x14ac:dyDescent="0.35"/>
  <cols>
    <col min="1" max="1" width="7.1796875" customWidth="1"/>
    <col min="2" max="2" width="33.1796875" customWidth="1"/>
    <col min="3" max="3" width="16.26953125" customWidth="1"/>
    <col min="4" max="4" width="11.26953125" customWidth="1"/>
    <col min="5" max="5" width="15.1796875" customWidth="1"/>
    <col min="6" max="6" width="14.54296875" customWidth="1"/>
    <col min="7" max="7" width="9.54296875" customWidth="1"/>
    <col min="8" max="8" width="12.7265625" customWidth="1"/>
  </cols>
  <sheetData>
    <row r="1" spans="1:8" ht="33.75" customHeight="1" thickBot="1" x14ac:dyDescent="0.4">
      <c r="A1" s="109" t="s">
        <v>0</v>
      </c>
      <c r="B1" s="109"/>
      <c r="C1" s="109"/>
      <c r="D1" s="109"/>
      <c r="E1" s="109"/>
      <c r="F1" s="109"/>
      <c r="G1" s="109"/>
      <c r="H1" s="109"/>
    </row>
    <row r="2" spans="1:8" ht="26.25" customHeight="1" thickBot="1" x14ac:dyDescent="0.4">
      <c r="A2" s="75" t="s">
        <v>159</v>
      </c>
      <c r="B2" s="76"/>
      <c r="C2" s="76"/>
      <c r="D2" s="76"/>
      <c r="E2" s="76"/>
      <c r="F2" s="76"/>
      <c r="G2" s="76"/>
      <c r="H2" s="77"/>
    </row>
    <row r="3" spans="1:8" ht="19.5" customHeight="1" thickBot="1" x14ac:dyDescent="0.4">
      <c r="A3" s="83" t="s">
        <v>160</v>
      </c>
      <c r="B3" s="87"/>
      <c r="C3" s="87"/>
      <c r="D3" s="87"/>
      <c r="E3" s="87"/>
      <c r="F3" s="87"/>
      <c r="G3" s="87"/>
      <c r="H3" s="84"/>
    </row>
    <row r="4" spans="1:8" ht="20.25" customHeight="1" thickBot="1" x14ac:dyDescent="0.4">
      <c r="A4" s="83" t="s">
        <v>161</v>
      </c>
      <c r="B4" s="87"/>
      <c r="C4" s="87"/>
      <c r="D4" s="110"/>
      <c r="E4" s="116" t="s">
        <v>7</v>
      </c>
      <c r="F4" s="87"/>
      <c r="G4" s="87"/>
      <c r="H4" s="84"/>
    </row>
    <row r="5" spans="1:8" ht="25.5" customHeight="1" x14ac:dyDescent="0.35">
      <c r="A5" s="82" t="s">
        <v>23</v>
      </c>
      <c r="B5" s="117" t="s">
        <v>4</v>
      </c>
      <c r="C5" s="118"/>
      <c r="D5" s="118"/>
      <c r="E5" s="118"/>
      <c r="F5" s="118"/>
      <c r="G5" s="118"/>
      <c r="H5" s="118"/>
    </row>
    <row r="6" spans="1:8" ht="19.5" customHeight="1" x14ac:dyDescent="0.35">
      <c r="A6" s="82"/>
      <c r="B6" s="120" t="s">
        <v>147</v>
      </c>
      <c r="C6" s="120"/>
      <c r="D6" s="119">
        <v>30</v>
      </c>
      <c r="E6" s="119"/>
      <c r="F6" s="119"/>
      <c r="G6" s="119"/>
      <c r="H6" s="119"/>
    </row>
    <row r="7" spans="1:8" ht="22.5" customHeight="1" x14ac:dyDescent="0.35">
      <c r="A7" s="82"/>
      <c r="B7" s="121" t="s">
        <v>2</v>
      </c>
      <c r="C7" s="122"/>
      <c r="D7" s="115"/>
      <c r="E7" s="115"/>
      <c r="F7" s="115"/>
      <c r="G7" s="115"/>
      <c r="H7" s="115"/>
    </row>
    <row r="8" spans="1:8" ht="46" x14ac:dyDescent="0.35">
      <c r="A8" s="82"/>
      <c r="B8" s="15" t="s">
        <v>98</v>
      </c>
      <c r="C8" s="1" t="s">
        <v>99</v>
      </c>
      <c r="D8" s="1" t="s">
        <v>117</v>
      </c>
      <c r="E8" s="1" t="s">
        <v>100</v>
      </c>
      <c r="F8" s="1" t="s">
        <v>101</v>
      </c>
      <c r="G8" s="2" t="s">
        <v>102</v>
      </c>
      <c r="H8" s="2" t="s">
        <v>103</v>
      </c>
    </row>
    <row r="9" spans="1:8" ht="22.5" customHeight="1" x14ac:dyDescent="0.35">
      <c r="A9" s="82"/>
      <c r="B9" s="21" t="s">
        <v>24</v>
      </c>
      <c r="C9" s="4"/>
      <c r="D9" s="5"/>
      <c r="E9" s="26" t="s">
        <v>148</v>
      </c>
      <c r="F9" s="5"/>
      <c r="G9" s="5"/>
      <c r="H9" s="5"/>
    </row>
    <row r="10" spans="1:8" ht="24" customHeight="1" x14ac:dyDescent="0.35">
      <c r="A10" s="82"/>
      <c r="B10" s="22"/>
      <c r="C10" s="4"/>
      <c r="D10" s="5"/>
      <c r="E10" s="26" t="s">
        <v>148</v>
      </c>
      <c r="F10" s="5"/>
      <c r="G10" s="5"/>
      <c r="H10" s="5"/>
    </row>
    <row r="11" spans="1:8" ht="23.25" customHeight="1" x14ac:dyDescent="0.35">
      <c r="A11" s="82"/>
      <c r="B11" s="23" t="s">
        <v>125</v>
      </c>
      <c r="C11" s="4"/>
      <c r="D11" s="8">
        <v>3</v>
      </c>
      <c r="E11" s="5"/>
      <c r="F11" s="5"/>
      <c r="G11" s="5"/>
      <c r="H11" s="5"/>
    </row>
    <row r="12" spans="1:8" ht="27" customHeight="1" x14ac:dyDescent="0.35">
      <c r="A12" s="82"/>
      <c r="B12" s="24" t="s">
        <v>13</v>
      </c>
      <c r="C12" s="4"/>
      <c r="D12" s="5"/>
      <c r="E12" s="26" t="s">
        <v>148</v>
      </c>
      <c r="F12" s="5"/>
      <c r="G12" s="5"/>
      <c r="H12" s="5"/>
    </row>
    <row r="13" spans="1:8" ht="26" x14ac:dyDescent="0.35">
      <c r="A13" s="82"/>
      <c r="B13" s="22" t="s">
        <v>14</v>
      </c>
      <c r="C13" s="4"/>
      <c r="D13" s="5"/>
      <c r="E13" s="26" t="s">
        <v>148</v>
      </c>
      <c r="F13" s="5"/>
      <c r="G13" s="5"/>
      <c r="H13" s="5"/>
    </row>
    <row r="14" spans="1:8" ht="39" x14ac:dyDescent="0.35">
      <c r="A14" s="82"/>
      <c r="B14" s="24" t="s">
        <v>15</v>
      </c>
      <c r="C14" s="4"/>
      <c r="D14" s="5"/>
      <c r="E14" s="26" t="s">
        <v>148</v>
      </c>
      <c r="F14" s="5"/>
      <c r="G14" s="5"/>
      <c r="H14" s="5"/>
    </row>
    <row r="15" spans="1:8" ht="23.25" customHeight="1" x14ac:dyDescent="0.35">
      <c r="A15" s="82"/>
      <c r="B15" s="21" t="s">
        <v>29</v>
      </c>
      <c r="C15" s="4"/>
      <c r="D15" s="5"/>
      <c r="E15" s="26" t="s">
        <v>148</v>
      </c>
      <c r="F15" s="5"/>
      <c r="G15" s="5"/>
      <c r="H15" s="5"/>
    </row>
    <row r="16" spans="1:8" ht="22.5" customHeight="1" x14ac:dyDescent="0.35">
      <c r="A16" s="82"/>
      <c r="B16" s="21" t="s">
        <v>27</v>
      </c>
      <c r="C16" s="11">
        <v>6</v>
      </c>
      <c r="D16" s="5"/>
      <c r="E16" s="5"/>
      <c r="F16" s="5"/>
      <c r="G16" s="5"/>
      <c r="H16" s="5"/>
    </row>
    <row r="17" spans="1:8" x14ac:dyDescent="0.35">
      <c r="A17" s="82"/>
      <c r="B17" s="21" t="s">
        <v>30</v>
      </c>
      <c r="C17" s="11"/>
      <c r="D17" s="5"/>
      <c r="E17" s="26" t="s">
        <v>148</v>
      </c>
      <c r="F17" s="5"/>
      <c r="G17" s="5"/>
      <c r="H17" s="5"/>
    </row>
    <row r="18" spans="1:8" ht="26.25" customHeight="1" x14ac:dyDescent="0.35">
      <c r="A18" s="82"/>
      <c r="B18" s="21" t="s">
        <v>163</v>
      </c>
      <c r="C18" s="11"/>
      <c r="D18" s="5"/>
      <c r="E18" s="26"/>
      <c r="F18" s="5"/>
      <c r="G18" s="5"/>
      <c r="H18" s="5"/>
    </row>
    <row r="19" spans="1:8" ht="19.5" customHeight="1" x14ac:dyDescent="0.35">
      <c r="A19" s="82"/>
      <c r="B19" s="21" t="s">
        <v>32</v>
      </c>
      <c r="C19" s="11"/>
      <c r="D19" s="5"/>
      <c r="E19" s="26" t="s">
        <v>148</v>
      </c>
      <c r="F19" s="5"/>
      <c r="G19" s="5"/>
      <c r="H19" s="5"/>
    </row>
    <row r="20" spans="1:8" ht="23.25" customHeight="1" x14ac:dyDescent="0.35">
      <c r="A20" s="82"/>
      <c r="B20" s="21" t="s">
        <v>33</v>
      </c>
      <c r="C20" s="11"/>
      <c r="D20" s="5"/>
      <c r="E20" s="26" t="s">
        <v>148</v>
      </c>
      <c r="F20" s="5"/>
      <c r="G20" s="5"/>
      <c r="H20" s="5"/>
    </row>
    <row r="21" spans="1:8" ht="23.25" customHeight="1" x14ac:dyDescent="0.35">
      <c r="A21" s="82"/>
      <c r="B21" s="21" t="s">
        <v>66</v>
      </c>
      <c r="C21" s="11"/>
      <c r="D21" s="5"/>
      <c r="E21" s="26" t="s">
        <v>148</v>
      </c>
      <c r="F21" s="5"/>
      <c r="G21" s="5"/>
      <c r="H21" s="5"/>
    </row>
    <row r="22" spans="1:8" ht="21" customHeight="1" x14ac:dyDescent="0.35">
      <c r="A22" s="82"/>
      <c r="B22" s="21" t="s">
        <v>67</v>
      </c>
      <c r="C22" s="11">
        <v>1</v>
      </c>
      <c r="D22" s="5"/>
      <c r="E22" s="5"/>
      <c r="F22" s="5"/>
      <c r="G22" s="5"/>
      <c r="H22" s="5"/>
    </row>
    <row r="23" spans="1:8" ht="19.5" customHeight="1" x14ac:dyDescent="0.35">
      <c r="A23" s="82"/>
      <c r="B23" s="21" t="s">
        <v>68</v>
      </c>
      <c r="C23" s="11">
        <v>2</v>
      </c>
      <c r="D23" s="5"/>
      <c r="E23" s="5"/>
      <c r="F23" s="5"/>
      <c r="G23" s="5"/>
      <c r="H23" s="5"/>
    </row>
    <row r="24" spans="1:8" ht="21" customHeight="1" x14ac:dyDescent="0.35">
      <c r="A24" s="82"/>
      <c r="B24" s="21" t="s">
        <v>69</v>
      </c>
      <c r="C24" s="11"/>
      <c r="D24" s="5"/>
      <c r="E24" s="26" t="s">
        <v>148</v>
      </c>
      <c r="F24" s="5"/>
      <c r="G24" s="5"/>
      <c r="H24" s="5"/>
    </row>
    <row r="25" spans="1:8" ht="21" customHeight="1" x14ac:dyDescent="0.35">
      <c r="A25" s="82"/>
      <c r="B25" s="21" t="s">
        <v>70</v>
      </c>
      <c r="C25" s="11"/>
      <c r="D25" s="5"/>
      <c r="E25" s="26" t="s">
        <v>148</v>
      </c>
      <c r="F25" s="5"/>
      <c r="G25" s="5"/>
      <c r="H25" s="5"/>
    </row>
    <row r="26" spans="1:8" ht="26" x14ac:dyDescent="0.35">
      <c r="A26" s="82"/>
      <c r="B26" s="22" t="s">
        <v>37</v>
      </c>
      <c r="C26" s="11"/>
      <c r="D26" s="5"/>
      <c r="E26" s="26" t="s">
        <v>148</v>
      </c>
      <c r="F26" s="5"/>
      <c r="G26" s="5"/>
      <c r="H26" s="5"/>
    </row>
    <row r="27" spans="1:8" ht="21" customHeight="1" x14ac:dyDescent="0.35">
      <c r="A27" s="82"/>
      <c r="B27" s="21" t="s">
        <v>16</v>
      </c>
      <c r="C27" s="11"/>
      <c r="D27" s="5"/>
      <c r="E27" s="26" t="s">
        <v>148</v>
      </c>
      <c r="F27" s="5"/>
      <c r="G27" s="5"/>
      <c r="H27" s="5"/>
    </row>
    <row r="28" spans="1:8" ht="36.75" customHeight="1" x14ac:dyDescent="0.35">
      <c r="A28" s="82"/>
      <c r="B28" s="22" t="s">
        <v>17</v>
      </c>
      <c r="C28" s="11"/>
      <c r="D28" s="5"/>
      <c r="E28" s="26" t="s">
        <v>148</v>
      </c>
      <c r="F28" s="5"/>
      <c r="G28" s="5"/>
      <c r="H28" s="5"/>
    </row>
    <row r="29" spans="1:8" ht="23.25" customHeight="1" x14ac:dyDescent="0.35">
      <c r="A29" s="82"/>
      <c r="B29" s="21" t="s">
        <v>39</v>
      </c>
      <c r="C29" s="11"/>
      <c r="D29" s="5"/>
      <c r="E29" s="26" t="s">
        <v>148</v>
      </c>
      <c r="F29" s="5"/>
      <c r="G29" s="5"/>
      <c r="H29" s="5"/>
    </row>
    <row r="30" spans="1:8" ht="21" customHeight="1" x14ac:dyDescent="0.35">
      <c r="A30" s="82"/>
      <c r="B30" s="21" t="s">
        <v>41</v>
      </c>
      <c r="C30" s="11"/>
      <c r="D30" s="5"/>
      <c r="E30" s="26" t="s">
        <v>148</v>
      </c>
      <c r="F30" s="5"/>
      <c r="G30" s="5"/>
      <c r="H30" s="5"/>
    </row>
    <row r="31" spans="1:8" ht="24.75" customHeight="1" x14ac:dyDescent="0.35">
      <c r="A31" s="82"/>
      <c r="B31" s="21" t="s">
        <v>18</v>
      </c>
      <c r="C31" s="11"/>
      <c r="D31" s="5"/>
      <c r="E31" s="26" t="s">
        <v>148</v>
      </c>
      <c r="F31" s="5"/>
      <c r="G31" s="5"/>
      <c r="H31" s="5"/>
    </row>
    <row r="32" spans="1:8" ht="37.5" customHeight="1" x14ac:dyDescent="0.35">
      <c r="A32" s="82"/>
      <c r="B32" s="22" t="s">
        <v>43</v>
      </c>
      <c r="C32" s="11"/>
      <c r="D32" s="5"/>
      <c r="E32" s="26" t="s">
        <v>148</v>
      </c>
      <c r="F32" s="5"/>
      <c r="G32" s="5"/>
      <c r="H32" s="5"/>
    </row>
    <row r="33" spans="1:8" ht="21.75" customHeight="1" x14ac:dyDescent="0.35">
      <c r="A33" s="82"/>
      <c r="B33" s="22" t="s">
        <v>126</v>
      </c>
      <c r="C33" s="11">
        <v>3</v>
      </c>
      <c r="D33" s="5"/>
      <c r="E33" s="5"/>
      <c r="F33" s="5"/>
      <c r="G33" s="5"/>
      <c r="H33" s="5"/>
    </row>
    <row r="34" spans="1:8" ht="21.75" customHeight="1" x14ac:dyDescent="0.35">
      <c r="A34" s="82"/>
      <c r="B34" s="17" t="s">
        <v>127</v>
      </c>
      <c r="C34" s="11"/>
      <c r="D34" s="5"/>
      <c r="E34" s="26" t="s">
        <v>148</v>
      </c>
      <c r="F34" s="5"/>
      <c r="G34" s="5"/>
      <c r="H34" s="5"/>
    </row>
    <row r="35" spans="1:8" ht="22.5" customHeight="1" x14ac:dyDescent="0.35">
      <c r="A35" s="82"/>
      <c r="B35" s="17" t="s">
        <v>128</v>
      </c>
      <c r="C35" s="11"/>
      <c r="D35" s="5"/>
      <c r="E35" s="26" t="s">
        <v>148</v>
      </c>
      <c r="F35" s="5"/>
      <c r="G35" s="5"/>
      <c r="H35" s="5"/>
    </row>
    <row r="36" spans="1:8" ht="23.25" customHeight="1" x14ac:dyDescent="0.35">
      <c r="A36" s="82"/>
      <c r="B36" s="17" t="s">
        <v>129</v>
      </c>
      <c r="C36" s="11">
        <v>4</v>
      </c>
      <c r="D36" s="5"/>
      <c r="E36" s="5"/>
      <c r="F36" s="5"/>
      <c r="G36" s="5"/>
      <c r="H36" s="5"/>
    </row>
    <row r="37" spans="1:8" ht="19.5" customHeight="1" x14ac:dyDescent="0.35">
      <c r="A37" s="82"/>
      <c r="B37" s="17" t="s">
        <v>130</v>
      </c>
      <c r="C37" s="11">
        <v>2</v>
      </c>
      <c r="D37" s="5"/>
      <c r="E37" s="5"/>
      <c r="F37" s="5"/>
      <c r="G37" s="5"/>
      <c r="H37" s="5"/>
    </row>
    <row r="38" spans="1:8" ht="19.5" customHeight="1" x14ac:dyDescent="0.35">
      <c r="A38" s="82"/>
      <c r="B38" s="17" t="s">
        <v>27</v>
      </c>
      <c r="C38" s="11"/>
      <c r="D38" s="5"/>
      <c r="E38" s="68"/>
      <c r="F38" s="5"/>
      <c r="G38" s="5"/>
      <c r="H38" s="5"/>
    </row>
    <row r="39" spans="1:8" ht="22.5" customHeight="1" x14ac:dyDescent="0.35">
      <c r="A39" s="82"/>
      <c r="B39" s="17" t="s">
        <v>131</v>
      </c>
      <c r="C39" s="11"/>
      <c r="D39" s="5"/>
      <c r="E39" s="26" t="s">
        <v>148</v>
      </c>
      <c r="F39" s="5"/>
      <c r="G39" s="5"/>
      <c r="H39" s="5"/>
    </row>
    <row r="40" spans="1:8" ht="25.5" customHeight="1" x14ac:dyDescent="0.35">
      <c r="A40" s="82"/>
      <c r="B40" s="25" t="s">
        <v>132</v>
      </c>
      <c r="C40" s="8"/>
      <c r="D40" s="5"/>
      <c r="E40" s="26" t="s">
        <v>148</v>
      </c>
      <c r="F40" s="5"/>
      <c r="G40" s="5"/>
      <c r="H40" s="5"/>
    </row>
    <row r="41" spans="1:8" ht="21.75" customHeight="1" x14ac:dyDescent="0.35">
      <c r="A41" s="82"/>
      <c r="B41" s="17" t="s">
        <v>133</v>
      </c>
      <c r="C41" s="8">
        <v>1</v>
      </c>
      <c r="D41" s="5"/>
      <c r="E41" s="5"/>
      <c r="F41" s="5"/>
      <c r="G41" s="5"/>
      <c r="H41" s="5"/>
    </row>
    <row r="42" spans="1:8" ht="23.25" customHeight="1" x14ac:dyDescent="0.35">
      <c r="A42" s="82"/>
      <c r="B42" s="17" t="s">
        <v>118</v>
      </c>
      <c r="C42" s="8">
        <v>2</v>
      </c>
      <c r="D42" s="5"/>
      <c r="E42" s="5"/>
      <c r="F42" s="5"/>
      <c r="G42" s="5"/>
      <c r="H42" s="5"/>
    </row>
    <row r="43" spans="1:8" ht="22.5" customHeight="1" x14ac:dyDescent="0.35">
      <c r="A43" s="82"/>
      <c r="B43" s="17" t="s">
        <v>134</v>
      </c>
      <c r="C43" s="8"/>
      <c r="D43" s="5"/>
      <c r="E43" s="26" t="s">
        <v>148</v>
      </c>
      <c r="F43" s="5"/>
      <c r="G43" s="5"/>
      <c r="H43" s="5"/>
    </row>
    <row r="44" spans="1:8" ht="26.25" customHeight="1" x14ac:dyDescent="0.35">
      <c r="A44" s="82"/>
      <c r="B44" s="17" t="s">
        <v>135</v>
      </c>
      <c r="C44" s="8"/>
      <c r="D44" s="5"/>
      <c r="E44" s="26" t="s">
        <v>148</v>
      </c>
      <c r="F44" s="5"/>
      <c r="G44" s="5"/>
      <c r="H44" s="5"/>
    </row>
    <row r="45" spans="1:8" ht="21.75" customHeight="1" x14ac:dyDescent="0.35">
      <c r="A45" s="82"/>
      <c r="B45" s="17" t="s">
        <v>136</v>
      </c>
      <c r="C45" s="8"/>
      <c r="D45" s="5"/>
      <c r="E45" s="26" t="s">
        <v>148</v>
      </c>
      <c r="F45" s="5"/>
      <c r="G45" s="5"/>
      <c r="H45" s="5"/>
    </row>
    <row r="46" spans="1:8" ht="21" customHeight="1" x14ac:dyDescent="0.35">
      <c r="A46" s="82"/>
      <c r="B46" s="17" t="s">
        <v>137</v>
      </c>
      <c r="C46" s="8"/>
      <c r="D46" s="5"/>
      <c r="E46" s="26" t="s">
        <v>148</v>
      </c>
      <c r="F46" s="5"/>
      <c r="G46" s="5"/>
      <c r="H46" s="5"/>
    </row>
    <row r="47" spans="1:8" ht="21" customHeight="1" x14ac:dyDescent="0.35">
      <c r="A47" s="82"/>
      <c r="B47" s="17" t="s">
        <v>138</v>
      </c>
      <c r="C47" s="8"/>
      <c r="D47" s="5"/>
      <c r="E47" s="26" t="s">
        <v>148</v>
      </c>
      <c r="F47" s="5"/>
      <c r="G47" s="5"/>
      <c r="H47" s="5"/>
    </row>
    <row r="48" spans="1:8" ht="24" customHeight="1" x14ac:dyDescent="0.35">
      <c r="A48" s="82"/>
      <c r="B48" s="17" t="s">
        <v>139</v>
      </c>
      <c r="C48" s="8">
        <v>6</v>
      </c>
      <c r="D48" s="5"/>
      <c r="E48" s="5"/>
      <c r="F48" s="5"/>
      <c r="G48" s="5"/>
      <c r="H48" s="5"/>
    </row>
    <row r="49" spans="1:8" ht="25.5" customHeight="1" thickBot="1" x14ac:dyDescent="0.4">
      <c r="A49" s="27"/>
      <c r="B49" s="38" t="s">
        <v>111</v>
      </c>
      <c r="D49" s="14"/>
      <c r="E49" s="39" t="s">
        <v>148</v>
      </c>
      <c r="F49" s="14"/>
      <c r="G49" s="14"/>
      <c r="H49" s="14"/>
    </row>
    <row r="50" spans="1:8" ht="32.25" customHeight="1" thickBot="1" x14ac:dyDescent="0.4">
      <c r="A50" s="40" t="s">
        <v>151</v>
      </c>
      <c r="B50" s="28" t="s">
        <v>152</v>
      </c>
      <c r="C50" s="49"/>
      <c r="D50" s="42"/>
      <c r="E50" s="48"/>
      <c r="F50" s="42"/>
      <c r="G50" s="113">
        <v>1</v>
      </c>
      <c r="H50" s="29">
        <v>5.27</v>
      </c>
    </row>
    <row r="51" spans="1:8" ht="27.75" customHeight="1" thickBot="1" x14ac:dyDescent="0.4">
      <c r="A51" s="111" t="s">
        <v>144</v>
      </c>
      <c r="B51" s="112"/>
      <c r="C51" s="50">
        <f>SUM(C16:C48)</f>
        <v>27</v>
      </c>
      <c r="D51" s="45">
        <v>3</v>
      </c>
      <c r="E51" s="44"/>
      <c r="F51" s="45">
        <v>87</v>
      </c>
      <c r="G51" s="114"/>
      <c r="H51" s="30">
        <v>5.27</v>
      </c>
    </row>
    <row r="53" spans="1:8" x14ac:dyDescent="0.35">
      <c r="A53" t="s">
        <v>169</v>
      </c>
      <c r="D53" t="s">
        <v>170</v>
      </c>
    </row>
    <row r="57" spans="1:8" x14ac:dyDescent="0.35">
      <c r="A57" t="s">
        <v>171</v>
      </c>
      <c r="D57" t="s">
        <v>172</v>
      </c>
    </row>
    <row r="58" spans="1:8" x14ac:dyDescent="0.35">
      <c r="A58" t="s">
        <v>173</v>
      </c>
      <c r="D58" t="s">
        <v>174</v>
      </c>
    </row>
    <row r="59" spans="1:8" x14ac:dyDescent="0.35">
      <c r="A59" t="s">
        <v>175</v>
      </c>
      <c r="D59" t="s">
        <v>176</v>
      </c>
    </row>
  </sheetData>
  <mergeCells count="13">
    <mergeCell ref="A1:H1"/>
    <mergeCell ref="A3:H3"/>
    <mergeCell ref="A4:D4"/>
    <mergeCell ref="A51:B51"/>
    <mergeCell ref="G50:G51"/>
    <mergeCell ref="A5:A48"/>
    <mergeCell ref="D7:H7"/>
    <mergeCell ref="A2:H2"/>
    <mergeCell ref="E4:H4"/>
    <mergeCell ref="B5:H5"/>
    <mergeCell ref="D6:H6"/>
    <mergeCell ref="B6:C6"/>
    <mergeCell ref="B7:C7"/>
  </mergeCells>
  <pageMargins left="0.31496062992125984" right="0.11811023622047245" top="0.55118110236220474" bottom="0.35433070866141736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28" workbookViewId="0">
      <selection activeCell="A42" sqref="A42:E48"/>
    </sheetView>
  </sheetViews>
  <sheetFormatPr baseColWidth="10" defaultRowHeight="14.5" x14ac:dyDescent="0.35"/>
  <cols>
    <col min="1" max="1" width="9.54296875" customWidth="1"/>
    <col min="2" max="2" width="28" customWidth="1"/>
    <col min="3" max="3" width="17.54296875" customWidth="1"/>
    <col min="4" max="4" width="11" customWidth="1"/>
    <col min="5" max="5" width="13.54296875" customWidth="1"/>
    <col min="6" max="6" width="13.7265625" customWidth="1"/>
    <col min="8" max="8" width="13.26953125" customWidth="1"/>
  </cols>
  <sheetData>
    <row r="1" spans="1:8" ht="27.75" customHeight="1" thickBot="1" x14ac:dyDescent="0.4">
      <c r="A1" s="73" t="s">
        <v>0</v>
      </c>
      <c r="B1" s="74"/>
      <c r="C1" s="74"/>
      <c r="D1" s="74"/>
      <c r="E1" s="74"/>
      <c r="F1" s="74"/>
      <c r="G1" s="74"/>
      <c r="H1" s="123"/>
    </row>
    <row r="2" spans="1:8" ht="22.5" customHeight="1" thickBot="1" x14ac:dyDescent="0.4">
      <c r="A2" s="75" t="s">
        <v>159</v>
      </c>
      <c r="B2" s="76"/>
      <c r="C2" s="76"/>
      <c r="D2" s="76"/>
      <c r="E2" s="76"/>
      <c r="F2" s="76"/>
      <c r="G2" s="76"/>
      <c r="H2" s="77"/>
    </row>
    <row r="3" spans="1:8" ht="19.5" customHeight="1" thickBot="1" x14ac:dyDescent="0.4">
      <c r="A3" s="83" t="s">
        <v>155</v>
      </c>
      <c r="B3" s="87"/>
      <c r="C3" s="87"/>
      <c r="D3" s="87"/>
      <c r="E3" s="87"/>
      <c r="F3" s="87"/>
      <c r="G3" s="87"/>
      <c r="H3" s="84"/>
    </row>
    <row r="4" spans="1:8" ht="18" customHeight="1" thickBot="1" x14ac:dyDescent="0.4">
      <c r="A4" s="83" t="s">
        <v>158</v>
      </c>
      <c r="B4" s="87"/>
      <c r="C4" s="87"/>
      <c r="D4" s="84"/>
      <c r="E4" s="83" t="s">
        <v>157</v>
      </c>
      <c r="F4" s="87"/>
      <c r="G4" s="87"/>
      <c r="H4" s="84"/>
    </row>
    <row r="5" spans="1:8" ht="16.5" customHeight="1" x14ac:dyDescent="0.35">
      <c r="A5" s="126" t="s">
        <v>23</v>
      </c>
      <c r="B5" s="128" t="s">
        <v>3</v>
      </c>
      <c r="C5" s="129"/>
      <c r="D5" s="129"/>
      <c r="E5" s="129"/>
      <c r="F5" s="129"/>
      <c r="G5" s="129"/>
      <c r="H5" s="129"/>
    </row>
    <row r="6" spans="1:8" ht="15.75" customHeight="1" x14ac:dyDescent="0.35">
      <c r="A6" s="101"/>
      <c r="B6" s="130" t="s">
        <v>149</v>
      </c>
      <c r="C6" s="131"/>
      <c r="D6" s="127">
        <v>31</v>
      </c>
      <c r="E6" s="127"/>
      <c r="F6" s="127"/>
      <c r="G6" s="127"/>
      <c r="H6" s="127"/>
    </row>
    <row r="7" spans="1:8" ht="21" customHeight="1" x14ac:dyDescent="0.35">
      <c r="A7" s="101"/>
      <c r="B7" s="130" t="s">
        <v>2</v>
      </c>
      <c r="C7" s="131"/>
      <c r="D7" s="131"/>
      <c r="E7" s="131"/>
      <c r="F7" s="131"/>
      <c r="G7" s="131"/>
      <c r="H7" s="131"/>
    </row>
    <row r="8" spans="1:8" ht="46" x14ac:dyDescent="0.35">
      <c r="A8" s="101"/>
      <c r="B8" s="3" t="s">
        <v>98</v>
      </c>
      <c r="C8" s="1" t="s">
        <v>99</v>
      </c>
      <c r="D8" s="1" t="s">
        <v>117</v>
      </c>
      <c r="E8" s="1" t="s">
        <v>100</v>
      </c>
      <c r="F8" s="1" t="s">
        <v>101</v>
      </c>
      <c r="G8" s="2" t="s">
        <v>102</v>
      </c>
      <c r="H8" s="2" t="s">
        <v>103</v>
      </c>
    </row>
    <row r="9" spans="1:8" ht="21.75" customHeight="1" x14ac:dyDescent="0.35">
      <c r="A9" s="101"/>
      <c r="B9" s="12" t="s">
        <v>19</v>
      </c>
      <c r="C9" s="11">
        <v>1</v>
      </c>
      <c r="D9" s="5"/>
      <c r="E9" s="5"/>
      <c r="F9" s="5"/>
      <c r="G9" s="5"/>
      <c r="H9" s="5"/>
    </row>
    <row r="10" spans="1:8" ht="35.25" customHeight="1" x14ac:dyDescent="0.35">
      <c r="A10" s="101"/>
      <c r="B10" s="13" t="s">
        <v>20</v>
      </c>
      <c r="C10" s="11"/>
      <c r="D10" s="5"/>
      <c r="E10" s="20" t="s">
        <v>145</v>
      </c>
      <c r="F10" s="5"/>
      <c r="G10" s="5"/>
      <c r="H10" s="5"/>
    </row>
    <row r="11" spans="1:8" ht="34.5" customHeight="1" x14ac:dyDescent="0.35">
      <c r="A11" s="101"/>
      <c r="B11" s="13" t="s">
        <v>71</v>
      </c>
      <c r="C11" s="11"/>
      <c r="D11" s="5"/>
      <c r="E11" s="20" t="s">
        <v>145</v>
      </c>
      <c r="F11" s="5"/>
      <c r="G11" s="5"/>
      <c r="H11" s="5"/>
    </row>
    <row r="12" spans="1:8" ht="26.5" x14ac:dyDescent="0.35">
      <c r="A12" s="101"/>
      <c r="B12" s="13" t="s">
        <v>21</v>
      </c>
      <c r="C12" s="11">
        <v>2</v>
      </c>
      <c r="D12" s="5"/>
      <c r="E12" s="5"/>
      <c r="F12" s="5"/>
      <c r="G12" s="5"/>
      <c r="H12" s="5"/>
    </row>
    <row r="13" spans="1:8" ht="31.5" customHeight="1" x14ac:dyDescent="0.35">
      <c r="A13" s="101"/>
      <c r="B13" s="13" t="s">
        <v>72</v>
      </c>
      <c r="C13" s="11"/>
      <c r="D13" s="5"/>
      <c r="E13" s="20" t="s">
        <v>145</v>
      </c>
      <c r="F13" s="5"/>
      <c r="G13" s="5"/>
      <c r="H13" s="5"/>
    </row>
    <row r="14" spans="1:8" ht="25.5" customHeight="1" x14ac:dyDescent="0.35">
      <c r="A14" s="101"/>
      <c r="B14" s="12" t="s">
        <v>73</v>
      </c>
      <c r="C14" s="11">
        <v>1</v>
      </c>
      <c r="D14" s="5"/>
      <c r="E14" s="5"/>
      <c r="F14" s="5"/>
      <c r="G14" s="5"/>
      <c r="H14" s="5"/>
    </row>
    <row r="15" spans="1:8" ht="36.75" customHeight="1" x14ac:dyDescent="0.35">
      <c r="A15" s="101"/>
      <c r="B15" s="13" t="s">
        <v>74</v>
      </c>
      <c r="C15" s="11">
        <v>2</v>
      </c>
      <c r="D15" s="5"/>
      <c r="E15" s="5"/>
      <c r="F15" s="5"/>
      <c r="G15" s="5"/>
      <c r="H15" s="5"/>
    </row>
    <row r="16" spans="1:8" ht="34.5" customHeight="1" x14ac:dyDescent="0.35">
      <c r="A16" s="101"/>
      <c r="B16" s="13" t="s">
        <v>75</v>
      </c>
      <c r="C16" s="11"/>
      <c r="D16" s="5"/>
      <c r="E16" s="20" t="s">
        <v>145</v>
      </c>
      <c r="F16" s="5"/>
      <c r="G16" s="5"/>
      <c r="H16" s="5"/>
    </row>
    <row r="17" spans="1:8" ht="26.5" x14ac:dyDescent="0.35">
      <c r="A17" s="101"/>
      <c r="B17" s="13" t="s">
        <v>76</v>
      </c>
      <c r="C17" s="11"/>
      <c r="D17" s="5"/>
      <c r="E17" s="20" t="s">
        <v>145</v>
      </c>
      <c r="F17" s="5"/>
      <c r="G17" s="5"/>
      <c r="H17" s="5"/>
    </row>
    <row r="18" spans="1:8" ht="19.5" customHeight="1" x14ac:dyDescent="0.35">
      <c r="A18" s="101"/>
      <c r="B18" s="12" t="s">
        <v>77</v>
      </c>
      <c r="C18" s="11">
        <v>1</v>
      </c>
      <c r="D18" s="5"/>
      <c r="E18" s="5"/>
      <c r="F18" s="5"/>
      <c r="G18" s="5"/>
      <c r="H18" s="5"/>
    </row>
    <row r="19" spans="1:8" ht="24.75" customHeight="1" x14ac:dyDescent="0.35">
      <c r="A19" s="101"/>
      <c r="B19" s="12" t="s">
        <v>78</v>
      </c>
      <c r="C19" s="11">
        <v>5</v>
      </c>
      <c r="D19" s="5"/>
      <c r="E19" s="5"/>
      <c r="F19" s="5"/>
      <c r="G19" s="5"/>
      <c r="H19" s="5"/>
    </row>
    <row r="20" spans="1:8" ht="26.5" x14ac:dyDescent="0.35">
      <c r="A20" s="101"/>
      <c r="B20" s="13" t="s">
        <v>57</v>
      </c>
      <c r="C20" s="11"/>
      <c r="D20" s="5"/>
      <c r="E20" s="20" t="s">
        <v>145</v>
      </c>
      <c r="F20" s="5"/>
      <c r="G20" s="5"/>
      <c r="H20" s="5"/>
    </row>
    <row r="21" spans="1:8" ht="21.75" customHeight="1" x14ac:dyDescent="0.35">
      <c r="A21" s="101"/>
      <c r="B21" s="12" t="s">
        <v>56</v>
      </c>
      <c r="C21" s="11"/>
      <c r="D21" s="5"/>
      <c r="E21" s="20" t="s">
        <v>145</v>
      </c>
      <c r="F21" s="5"/>
      <c r="G21" s="5"/>
      <c r="H21" s="5"/>
    </row>
    <row r="22" spans="1:8" ht="20.25" customHeight="1" x14ac:dyDescent="0.35">
      <c r="A22" s="101"/>
      <c r="B22" s="12" t="s">
        <v>55</v>
      </c>
      <c r="C22" s="11"/>
      <c r="D22" s="5"/>
      <c r="E22" s="20" t="s">
        <v>145</v>
      </c>
      <c r="F22" s="5"/>
      <c r="G22" s="5"/>
      <c r="H22" s="5"/>
    </row>
    <row r="23" spans="1:8" ht="32.25" customHeight="1" x14ac:dyDescent="0.35">
      <c r="A23" s="101"/>
      <c r="B23" s="13" t="s">
        <v>60</v>
      </c>
      <c r="C23" s="11"/>
      <c r="D23" s="5"/>
      <c r="E23" s="20" t="s">
        <v>145</v>
      </c>
      <c r="F23" s="5"/>
      <c r="G23" s="5"/>
      <c r="H23" s="5"/>
    </row>
    <row r="24" spans="1:8" x14ac:dyDescent="0.35">
      <c r="A24" s="101"/>
      <c r="B24" s="12" t="s">
        <v>22</v>
      </c>
      <c r="C24" s="11">
        <v>1</v>
      </c>
      <c r="D24" s="5"/>
      <c r="E24" s="5"/>
      <c r="F24" s="5"/>
      <c r="G24" s="5"/>
      <c r="H24" s="5"/>
    </row>
    <row r="25" spans="1:8" x14ac:dyDescent="0.35">
      <c r="A25" s="101"/>
      <c r="B25" s="12" t="s">
        <v>79</v>
      </c>
      <c r="C25" s="11"/>
      <c r="D25" s="5"/>
      <c r="E25" s="20" t="s">
        <v>145</v>
      </c>
      <c r="F25" s="5"/>
      <c r="G25" s="5"/>
      <c r="H25" s="5"/>
    </row>
    <row r="26" spans="1:8" ht="24.75" customHeight="1" x14ac:dyDescent="0.35">
      <c r="A26" s="101"/>
      <c r="B26" s="12" t="s">
        <v>80</v>
      </c>
      <c r="C26" s="11"/>
      <c r="D26" s="5"/>
      <c r="E26" s="20" t="s">
        <v>145</v>
      </c>
      <c r="F26" s="5"/>
      <c r="G26" s="5"/>
      <c r="H26" s="5"/>
    </row>
    <row r="27" spans="1:8" ht="27.75" customHeight="1" x14ac:dyDescent="0.35">
      <c r="A27" s="101"/>
      <c r="B27" s="12" t="s">
        <v>81</v>
      </c>
      <c r="C27" s="11"/>
      <c r="D27" s="5"/>
      <c r="E27" s="20" t="s">
        <v>145</v>
      </c>
      <c r="F27" s="5"/>
      <c r="G27" s="5"/>
      <c r="H27" s="5"/>
    </row>
    <row r="28" spans="1:8" ht="24" customHeight="1" x14ac:dyDescent="0.35">
      <c r="A28" s="101"/>
      <c r="B28" s="12" t="s">
        <v>61</v>
      </c>
      <c r="C28" s="11">
        <v>1</v>
      </c>
      <c r="D28" s="5"/>
      <c r="E28" s="5"/>
      <c r="F28" s="5"/>
      <c r="G28" s="5"/>
      <c r="H28" s="5"/>
    </row>
    <row r="29" spans="1:8" ht="27" customHeight="1" x14ac:dyDescent="0.35">
      <c r="A29" s="101"/>
      <c r="B29" s="12" t="s">
        <v>62</v>
      </c>
      <c r="C29" s="11">
        <v>2</v>
      </c>
      <c r="D29" s="5"/>
      <c r="E29" s="5"/>
      <c r="F29" s="5"/>
      <c r="G29" s="5"/>
      <c r="H29" s="5"/>
    </row>
    <row r="30" spans="1:8" ht="20.25" customHeight="1" x14ac:dyDescent="0.35">
      <c r="A30" s="101"/>
      <c r="B30" s="12" t="s">
        <v>63</v>
      </c>
      <c r="C30" s="11">
        <v>3</v>
      </c>
      <c r="D30" s="5"/>
      <c r="E30" s="5"/>
      <c r="F30" s="5"/>
      <c r="G30" s="5"/>
      <c r="H30" s="5"/>
    </row>
    <row r="31" spans="1:8" ht="21.75" customHeight="1" x14ac:dyDescent="0.35">
      <c r="A31" s="101"/>
      <c r="B31" s="12" t="s">
        <v>82</v>
      </c>
      <c r="C31" s="11"/>
      <c r="D31" s="5"/>
      <c r="E31" s="20" t="s">
        <v>145</v>
      </c>
      <c r="F31" s="5"/>
      <c r="G31" s="5"/>
      <c r="H31" s="5"/>
    </row>
    <row r="32" spans="1:8" ht="21.75" customHeight="1" x14ac:dyDescent="0.35">
      <c r="A32" s="101"/>
      <c r="B32" s="12" t="s">
        <v>83</v>
      </c>
      <c r="C32" s="11">
        <v>3</v>
      </c>
      <c r="D32" s="5"/>
      <c r="E32" s="5"/>
      <c r="F32" s="5"/>
      <c r="G32" s="5"/>
      <c r="H32" s="5"/>
    </row>
    <row r="33" spans="1:8" ht="24.75" customHeight="1" x14ac:dyDescent="0.35">
      <c r="A33" s="101"/>
      <c r="B33" s="12" t="s">
        <v>47</v>
      </c>
      <c r="C33" s="11">
        <v>6</v>
      </c>
      <c r="D33" s="5"/>
      <c r="E33" s="5"/>
      <c r="F33" s="5"/>
      <c r="G33" s="5"/>
      <c r="H33" s="5"/>
    </row>
    <row r="34" spans="1:8" ht="21.75" customHeight="1" x14ac:dyDescent="0.35">
      <c r="A34" s="101"/>
      <c r="B34" s="12" t="s">
        <v>84</v>
      </c>
      <c r="C34" s="11">
        <v>2</v>
      </c>
      <c r="D34" s="5"/>
      <c r="E34" s="5"/>
      <c r="F34" s="5"/>
      <c r="G34" s="5"/>
      <c r="H34" s="5"/>
    </row>
    <row r="35" spans="1:8" ht="23.25" customHeight="1" x14ac:dyDescent="0.35">
      <c r="A35" s="101"/>
      <c r="B35" s="12" t="s">
        <v>85</v>
      </c>
      <c r="C35" s="11">
        <v>1</v>
      </c>
      <c r="D35" s="5"/>
      <c r="E35" s="5"/>
      <c r="F35" s="5"/>
      <c r="G35" s="5"/>
      <c r="H35" s="5"/>
    </row>
    <row r="36" spans="1:8" ht="20.25" customHeight="1" x14ac:dyDescent="0.35">
      <c r="A36" s="101"/>
      <c r="B36" s="12" t="s">
        <v>86</v>
      </c>
      <c r="C36" s="11"/>
      <c r="D36" s="5"/>
      <c r="E36" s="20" t="s">
        <v>145</v>
      </c>
      <c r="F36" s="5"/>
      <c r="G36" s="5"/>
      <c r="H36" s="5"/>
    </row>
    <row r="37" spans="1:8" ht="20.25" customHeight="1" x14ac:dyDescent="0.35">
      <c r="A37" s="101"/>
      <c r="B37" s="12" t="s">
        <v>87</v>
      </c>
      <c r="C37" s="11"/>
      <c r="D37" s="5"/>
      <c r="E37" s="20" t="s">
        <v>145</v>
      </c>
      <c r="F37" s="5"/>
      <c r="G37" s="5"/>
      <c r="H37" s="5"/>
    </row>
    <row r="38" spans="1:8" ht="21.75" customHeight="1" thickBot="1" x14ac:dyDescent="0.4">
      <c r="A38" s="101"/>
      <c r="B38" s="14"/>
      <c r="C38" s="14"/>
      <c r="D38" s="14"/>
      <c r="E38" s="14"/>
      <c r="F38" s="14"/>
      <c r="G38" s="14"/>
      <c r="H38" s="14"/>
    </row>
    <row r="39" spans="1:8" ht="24.75" customHeight="1" thickBot="1" x14ac:dyDescent="0.4">
      <c r="A39" s="58" t="s">
        <v>151</v>
      </c>
      <c r="B39" s="59" t="s">
        <v>152</v>
      </c>
      <c r="C39" s="49"/>
      <c r="D39" s="42"/>
      <c r="E39" s="42"/>
      <c r="F39" s="42"/>
      <c r="G39" s="99">
        <v>1</v>
      </c>
      <c r="H39" s="31">
        <v>5.18</v>
      </c>
    </row>
    <row r="40" spans="1:8" ht="27.75" customHeight="1" thickBot="1" x14ac:dyDescent="0.4">
      <c r="A40" s="124" t="s">
        <v>144</v>
      </c>
      <c r="B40" s="125"/>
      <c r="C40" s="47">
        <f>SUM(C9:C37)</f>
        <v>31</v>
      </c>
      <c r="D40" s="44"/>
      <c r="E40" s="44"/>
      <c r="F40" s="43">
        <v>108</v>
      </c>
      <c r="G40" s="100"/>
      <c r="H40" s="31">
        <v>5.18</v>
      </c>
    </row>
    <row r="42" spans="1:8" x14ac:dyDescent="0.35">
      <c r="A42" t="s">
        <v>169</v>
      </c>
      <c r="D42" t="s">
        <v>170</v>
      </c>
    </row>
    <row r="46" spans="1:8" x14ac:dyDescent="0.35">
      <c r="A46" t="s">
        <v>171</v>
      </c>
      <c r="D46" t="s">
        <v>172</v>
      </c>
    </row>
    <row r="47" spans="1:8" x14ac:dyDescent="0.35">
      <c r="A47" t="s">
        <v>173</v>
      </c>
      <c r="D47" t="s">
        <v>174</v>
      </c>
    </row>
    <row r="48" spans="1:8" x14ac:dyDescent="0.35">
      <c r="A48" t="s">
        <v>175</v>
      </c>
      <c r="D48" t="s">
        <v>176</v>
      </c>
    </row>
  </sheetData>
  <mergeCells count="12">
    <mergeCell ref="G39:G40"/>
    <mergeCell ref="A40:B40"/>
    <mergeCell ref="A5:A38"/>
    <mergeCell ref="D6:H6"/>
    <mergeCell ref="B5:H5"/>
    <mergeCell ref="B6:C6"/>
    <mergeCell ref="B7:H7"/>
    <mergeCell ref="A1:H1"/>
    <mergeCell ref="A2:H2"/>
    <mergeCell ref="A3:H3"/>
    <mergeCell ref="A4:D4"/>
    <mergeCell ref="E4:H4"/>
  </mergeCells>
  <pageMargins left="0.31496062992125984" right="0.11811023622047245" top="0.35433070866141736" bottom="0.15748031496062992" header="0.31496062992125984" footer="0.31496062992125984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abSelected="1" zoomScale="130" zoomScaleNormal="130" workbookViewId="0">
      <selection activeCell="B14" sqref="B14"/>
    </sheetView>
  </sheetViews>
  <sheetFormatPr baseColWidth="10" defaultRowHeight="14.5" x14ac:dyDescent="0.35"/>
  <cols>
    <col min="1" max="1" width="7.453125" customWidth="1"/>
    <col min="2" max="2" width="30.81640625" customWidth="1"/>
    <col min="3" max="3" width="9.453125" customWidth="1"/>
    <col min="4" max="4" width="10.26953125" customWidth="1"/>
    <col min="5" max="5" width="11.1796875" customWidth="1"/>
    <col min="6" max="6" width="9.81640625" customWidth="1"/>
  </cols>
  <sheetData>
    <row r="1" spans="1:6" ht="31.5" customHeight="1" thickBot="1" x14ac:dyDescent="0.4">
      <c r="A1" s="73" t="s">
        <v>0</v>
      </c>
      <c r="B1" s="74"/>
      <c r="C1" s="74"/>
      <c r="D1" s="74"/>
      <c r="E1" s="74"/>
      <c r="F1" s="74"/>
    </row>
    <row r="2" spans="1:6" ht="18.75" customHeight="1" thickBot="1" x14ac:dyDescent="0.4">
      <c r="A2" s="132" t="s">
        <v>97</v>
      </c>
      <c r="B2" s="133"/>
      <c r="C2" s="133"/>
      <c r="D2" s="133"/>
      <c r="E2" s="133"/>
      <c r="F2" s="133"/>
    </row>
    <row r="3" spans="1:6" ht="26.25" customHeight="1" thickBot="1" x14ac:dyDescent="0.4">
      <c r="A3" s="136" t="s">
        <v>159</v>
      </c>
      <c r="B3" s="137"/>
      <c r="C3" s="137"/>
      <c r="D3" s="137"/>
      <c r="E3" s="137"/>
      <c r="F3" s="137"/>
    </row>
    <row r="4" spans="1:6" ht="21" customHeight="1" thickBot="1" x14ac:dyDescent="0.4">
      <c r="A4" s="83" t="s">
        <v>158</v>
      </c>
      <c r="B4" s="87"/>
      <c r="C4" s="87"/>
      <c r="D4" s="84"/>
      <c r="E4" s="83" t="s">
        <v>157</v>
      </c>
      <c r="F4" s="84"/>
    </row>
    <row r="5" spans="1:6" ht="23.25" customHeight="1" thickTop="1" thickBot="1" x14ac:dyDescent="0.4">
      <c r="A5" s="138" t="s">
        <v>23</v>
      </c>
      <c r="B5" s="140" t="s">
        <v>5</v>
      </c>
      <c r="C5" s="141"/>
      <c r="D5" s="141"/>
      <c r="E5" s="141"/>
      <c r="F5" s="142"/>
    </row>
    <row r="6" spans="1:6" ht="19.5" customHeight="1" thickBot="1" x14ac:dyDescent="0.4">
      <c r="A6" s="139"/>
      <c r="B6" s="106" t="s">
        <v>150</v>
      </c>
      <c r="C6" s="107"/>
      <c r="D6" s="107"/>
      <c r="E6" s="107"/>
      <c r="F6" s="108"/>
    </row>
    <row r="7" spans="1:6" ht="20.25" customHeight="1" thickBot="1" x14ac:dyDescent="0.4">
      <c r="A7" s="139"/>
      <c r="B7" s="106" t="s">
        <v>2</v>
      </c>
      <c r="C7" s="107"/>
      <c r="D7" s="107"/>
      <c r="E7" s="107"/>
      <c r="F7" s="108"/>
    </row>
    <row r="8" spans="1:6" ht="43.5" customHeight="1" x14ac:dyDescent="0.35">
      <c r="A8" s="139"/>
      <c r="B8" s="70" t="s">
        <v>98</v>
      </c>
      <c r="C8" s="70" t="s">
        <v>99</v>
      </c>
      <c r="D8" s="70" t="s">
        <v>117</v>
      </c>
      <c r="E8" s="70" t="s">
        <v>100</v>
      </c>
      <c r="F8" s="70" t="s">
        <v>101</v>
      </c>
    </row>
    <row r="9" spans="1:6" ht="21" customHeight="1" x14ac:dyDescent="0.35">
      <c r="A9" s="139"/>
      <c r="B9" s="20" t="s">
        <v>24</v>
      </c>
      <c r="C9" s="60"/>
      <c r="D9" s="53"/>
      <c r="E9" s="20" t="s">
        <v>145</v>
      </c>
      <c r="F9" s="53"/>
    </row>
    <row r="10" spans="1:6" x14ac:dyDescent="0.35">
      <c r="A10" s="139"/>
      <c r="B10" s="20" t="s">
        <v>140</v>
      </c>
      <c r="C10" s="60"/>
      <c r="D10" s="61">
        <v>3</v>
      </c>
      <c r="E10" s="53"/>
      <c r="F10" s="53"/>
    </row>
    <row r="11" spans="1:6" x14ac:dyDescent="0.35">
      <c r="A11" s="139"/>
      <c r="B11" s="20" t="s">
        <v>12</v>
      </c>
      <c r="C11" s="60"/>
      <c r="D11" s="53"/>
      <c r="E11" s="20" t="s">
        <v>145</v>
      </c>
      <c r="F11" s="53"/>
    </row>
    <row r="12" spans="1:6" x14ac:dyDescent="0.35">
      <c r="A12" s="139"/>
      <c r="B12" s="143" t="s">
        <v>88</v>
      </c>
      <c r="C12" s="60"/>
      <c r="D12" s="53"/>
      <c r="E12" s="20" t="s">
        <v>145</v>
      </c>
      <c r="F12" s="53"/>
    </row>
    <row r="13" spans="1:6" x14ac:dyDescent="0.35">
      <c r="A13" s="139"/>
      <c r="B13" s="20" t="s">
        <v>25</v>
      </c>
      <c r="C13" s="60"/>
      <c r="D13" s="53"/>
      <c r="E13" s="20" t="s">
        <v>145</v>
      </c>
      <c r="F13" s="53"/>
    </row>
    <row r="14" spans="1:6" ht="32.5" x14ac:dyDescent="0.35">
      <c r="A14" s="139"/>
      <c r="B14" s="62" t="s">
        <v>89</v>
      </c>
      <c r="C14" s="60"/>
      <c r="D14" s="53"/>
      <c r="E14" s="20" t="s">
        <v>145</v>
      </c>
      <c r="F14" s="53"/>
    </row>
    <row r="15" spans="1:6" ht="21.75" customHeight="1" x14ac:dyDescent="0.35">
      <c r="A15" s="139"/>
      <c r="B15" s="20" t="s">
        <v>28</v>
      </c>
      <c r="C15" s="60"/>
      <c r="D15" s="53"/>
      <c r="E15" s="20" t="s">
        <v>145</v>
      </c>
      <c r="F15" s="53"/>
    </row>
    <row r="16" spans="1:6" ht="18" customHeight="1" x14ac:dyDescent="0.35">
      <c r="A16" s="139"/>
      <c r="B16" s="20" t="s">
        <v>29</v>
      </c>
      <c r="C16" s="60"/>
      <c r="D16" s="53"/>
      <c r="E16" s="20" t="s">
        <v>145</v>
      </c>
      <c r="F16" s="53"/>
    </row>
    <row r="17" spans="1:6" ht="18" customHeight="1" x14ac:dyDescent="0.35">
      <c r="A17" s="139"/>
      <c r="B17" s="20" t="s">
        <v>90</v>
      </c>
      <c r="C17" s="19">
        <v>1</v>
      </c>
      <c r="D17" s="53"/>
      <c r="E17" s="53"/>
      <c r="F17" s="53"/>
    </row>
    <row r="18" spans="1:6" ht="19.5" customHeight="1" x14ac:dyDescent="0.35">
      <c r="A18" s="139"/>
      <c r="B18" s="20" t="s">
        <v>32</v>
      </c>
      <c r="C18" s="19"/>
      <c r="D18" s="53"/>
      <c r="E18" s="20" t="s">
        <v>145</v>
      </c>
      <c r="F18" s="53"/>
    </row>
    <row r="19" spans="1:6" x14ac:dyDescent="0.35">
      <c r="A19" s="139"/>
      <c r="B19" s="20" t="s">
        <v>31</v>
      </c>
      <c r="C19" s="19"/>
      <c r="D19" s="53"/>
      <c r="E19" s="20" t="s">
        <v>145</v>
      </c>
      <c r="F19" s="53"/>
    </row>
    <row r="20" spans="1:6" x14ac:dyDescent="0.35">
      <c r="A20" s="139"/>
      <c r="B20" s="20" t="s">
        <v>33</v>
      </c>
      <c r="C20" s="19"/>
      <c r="D20" s="53"/>
      <c r="E20" s="20" t="s">
        <v>145</v>
      </c>
      <c r="F20" s="53"/>
    </row>
    <row r="21" spans="1:6" x14ac:dyDescent="0.35">
      <c r="A21" s="139"/>
      <c r="B21" s="20" t="s">
        <v>91</v>
      </c>
      <c r="C21" s="19">
        <v>1</v>
      </c>
      <c r="D21" s="53"/>
      <c r="E21" s="53"/>
      <c r="F21" s="53"/>
    </row>
    <row r="22" spans="1:6" x14ac:dyDescent="0.35">
      <c r="A22" s="139"/>
      <c r="B22" s="20" t="s">
        <v>92</v>
      </c>
      <c r="C22" s="19"/>
      <c r="D22" s="53"/>
      <c r="E22" s="20" t="s">
        <v>145</v>
      </c>
      <c r="F22" s="53"/>
    </row>
    <row r="23" spans="1:6" x14ac:dyDescent="0.35">
      <c r="A23" s="139"/>
      <c r="B23" s="20" t="s">
        <v>68</v>
      </c>
      <c r="C23" s="19">
        <v>1</v>
      </c>
      <c r="D23" s="53"/>
      <c r="E23" s="53"/>
      <c r="F23" s="53"/>
    </row>
    <row r="24" spans="1:6" x14ac:dyDescent="0.35">
      <c r="A24" s="139"/>
      <c r="B24" s="63" t="s">
        <v>93</v>
      </c>
      <c r="C24" s="19"/>
      <c r="D24" s="53"/>
      <c r="E24" s="20" t="s">
        <v>145</v>
      </c>
      <c r="F24" s="53"/>
    </row>
    <row r="25" spans="1:6" x14ac:dyDescent="0.35">
      <c r="A25" s="139"/>
      <c r="B25" s="63" t="s">
        <v>70</v>
      </c>
      <c r="C25" s="19"/>
      <c r="D25" s="53"/>
      <c r="E25" s="20" t="s">
        <v>145</v>
      </c>
      <c r="F25" s="53"/>
    </row>
    <row r="26" spans="1:6" x14ac:dyDescent="0.35">
      <c r="A26" s="139"/>
      <c r="B26" s="63" t="s">
        <v>94</v>
      </c>
      <c r="C26" s="19"/>
      <c r="D26" s="53"/>
      <c r="E26" s="20" t="s">
        <v>145</v>
      </c>
      <c r="F26" s="53"/>
    </row>
    <row r="27" spans="1:6" x14ac:dyDescent="0.35">
      <c r="A27" s="139"/>
      <c r="B27" s="63" t="s">
        <v>95</v>
      </c>
      <c r="C27" s="19"/>
      <c r="D27" s="53"/>
      <c r="E27" s="20" t="s">
        <v>145</v>
      </c>
      <c r="F27" s="53"/>
    </row>
    <row r="28" spans="1:6" x14ac:dyDescent="0.35">
      <c r="A28" s="139"/>
      <c r="B28" s="63" t="s">
        <v>38</v>
      </c>
      <c r="C28" s="19"/>
      <c r="D28" s="53"/>
      <c r="E28" s="20" t="s">
        <v>145</v>
      </c>
      <c r="F28" s="53"/>
    </row>
    <row r="29" spans="1:6" x14ac:dyDescent="0.35">
      <c r="A29" s="139"/>
      <c r="B29" s="64" t="s">
        <v>37</v>
      </c>
      <c r="C29" s="19"/>
      <c r="D29" s="53"/>
      <c r="E29" s="20" t="s">
        <v>145</v>
      </c>
      <c r="F29" s="53"/>
    </row>
    <row r="30" spans="1:6" x14ac:dyDescent="0.35">
      <c r="A30" s="139"/>
      <c r="B30" s="20" t="s">
        <v>39</v>
      </c>
      <c r="C30" s="19">
        <v>2</v>
      </c>
      <c r="D30" s="53"/>
      <c r="E30" s="53"/>
      <c r="F30" s="53"/>
    </row>
    <row r="31" spans="1:6" ht="20.25" customHeight="1" x14ac:dyDescent="0.35">
      <c r="A31" s="139"/>
      <c r="B31" s="20" t="s">
        <v>41</v>
      </c>
      <c r="C31" s="19">
        <v>5</v>
      </c>
      <c r="D31" s="53"/>
      <c r="E31" s="53"/>
      <c r="F31" s="53"/>
    </row>
    <row r="32" spans="1:6" ht="24" customHeight="1" x14ac:dyDescent="0.35">
      <c r="A32" s="139"/>
      <c r="B32" s="20" t="s">
        <v>40</v>
      </c>
      <c r="C32" s="19"/>
      <c r="D32" s="53"/>
      <c r="E32" s="20" t="s">
        <v>145</v>
      </c>
      <c r="F32" s="53"/>
    </row>
    <row r="33" spans="1:6" ht="18" customHeight="1" x14ac:dyDescent="0.35">
      <c r="A33" s="139"/>
      <c r="B33" s="20" t="s">
        <v>42</v>
      </c>
      <c r="C33" s="19">
        <v>5</v>
      </c>
      <c r="D33" s="53"/>
      <c r="E33" s="53"/>
      <c r="F33" s="53"/>
    </row>
    <row r="34" spans="1:6" ht="21" x14ac:dyDescent="0.35">
      <c r="A34" s="139"/>
      <c r="B34" s="65" t="s">
        <v>96</v>
      </c>
      <c r="C34" s="19"/>
      <c r="D34" s="53"/>
      <c r="E34" s="20" t="s">
        <v>145</v>
      </c>
      <c r="F34" s="53"/>
    </row>
    <row r="35" spans="1:6" ht="22.5" customHeight="1" x14ac:dyDescent="0.35">
      <c r="A35" s="139"/>
      <c r="B35" s="63" t="s">
        <v>10</v>
      </c>
      <c r="C35" s="19">
        <v>8</v>
      </c>
      <c r="D35" s="53"/>
      <c r="E35" s="53"/>
      <c r="F35" s="53"/>
    </row>
    <row r="36" spans="1:6" x14ac:dyDescent="0.35">
      <c r="A36" s="139"/>
      <c r="B36" s="63" t="s">
        <v>112</v>
      </c>
      <c r="C36" s="19">
        <v>5</v>
      </c>
      <c r="D36" s="53"/>
      <c r="E36" s="53"/>
      <c r="F36" s="53"/>
    </row>
    <row r="37" spans="1:6" ht="23.25" customHeight="1" x14ac:dyDescent="0.35">
      <c r="A37" s="139"/>
      <c r="B37" s="63" t="s">
        <v>107</v>
      </c>
      <c r="C37" s="19">
        <v>3</v>
      </c>
      <c r="D37" s="53"/>
      <c r="E37" s="53"/>
      <c r="F37" s="53"/>
    </row>
    <row r="38" spans="1:6" x14ac:dyDescent="0.35">
      <c r="A38" s="139"/>
      <c r="B38" s="63" t="s">
        <v>108</v>
      </c>
      <c r="C38" s="19">
        <v>3</v>
      </c>
      <c r="D38" s="53"/>
      <c r="E38" s="53"/>
      <c r="F38" s="53"/>
    </row>
    <row r="39" spans="1:6" ht="23.25" customHeight="1" x14ac:dyDescent="0.35">
      <c r="A39" s="139"/>
      <c r="B39" s="63" t="s">
        <v>141</v>
      </c>
      <c r="C39" s="19">
        <v>2</v>
      </c>
      <c r="D39" s="53"/>
      <c r="E39" s="53"/>
      <c r="F39" s="53"/>
    </row>
    <row r="40" spans="1:6" ht="23.25" customHeight="1" x14ac:dyDescent="0.35">
      <c r="A40" s="139"/>
      <c r="B40" s="20" t="s">
        <v>113</v>
      </c>
      <c r="C40" s="19">
        <v>2</v>
      </c>
      <c r="D40" s="53"/>
      <c r="E40" s="53"/>
      <c r="F40" s="53"/>
    </row>
    <row r="41" spans="1:6" ht="22.5" customHeight="1" x14ac:dyDescent="0.35">
      <c r="A41" s="139"/>
      <c r="B41" s="20" t="s">
        <v>114</v>
      </c>
      <c r="C41" s="19">
        <v>2</v>
      </c>
      <c r="D41" s="53"/>
      <c r="E41" s="53"/>
      <c r="F41" s="53"/>
    </row>
    <row r="42" spans="1:6" ht="21" customHeight="1" x14ac:dyDescent="0.35">
      <c r="A42" s="139"/>
      <c r="B42" s="20" t="s">
        <v>110</v>
      </c>
      <c r="C42" s="19">
        <v>3</v>
      </c>
      <c r="D42" s="53"/>
      <c r="E42" s="53"/>
      <c r="F42" s="53"/>
    </row>
    <row r="43" spans="1:6" ht="21" customHeight="1" x14ac:dyDescent="0.35">
      <c r="A43" s="139"/>
      <c r="B43" s="41" t="s">
        <v>115</v>
      </c>
      <c r="C43" s="66"/>
      <c r="D43" s="67"/>
      <c r="E43" s="41" t="s">
        <v>145</v>
      </c>
      <c r="F43" s="67"/>
    </row>
    <row r="44" spans="1:6" ht="21" customHeight="1" x14ac:dyDescent="0.35">
      <c r="A44" s="139"/>
      <c r="B44" s="20" t="s">
        <v>164</v>
      </c>
      <c r="C44" s="19">
        <v>2</v>
      </c>
      <c r="D44" s="53"/>
      <c r="E44" s="20"/>
      <c r="F44" s="53"/>
    </row>
    <row r="45" spans="1:6" ht="21" customHeight="1" x14ac:dyDescent="0.35">
      <c r="A45" s="139"/>
      <c r="B45" s="20" t="s">
        <v>165</v>
      </c>
      <c r="C45" s="53"/>
      <c r="D45" s="53"/>
      <c r="E45" s="20"/>
      <c r="F45" s="53"/>
    </row>
    <row r="46" spans="1:6" ht="21" customHeight="1" x14ac:dyDescent="0.35">
      <c r="A46" s="139"/>
      <c r="B46" s="20" t="s">
        <v>166</v>
      </c>
      <c r="C46" s="53"/>
      <c r="D46" s="53"/>
      <c r="E46" s="20"/>
      <c r="F46" s="53"/>
    </row>
    <row r="47" spans="1:6" ht="24.75" customHeight="1" x14ac:dyDescent="0.35">
      <c r="A47" s="139"/>
      <c r="B47" s="20" t="s">
        <v>167</v>
      </c>
      <c r="C47" s="5"/>
      <c r="D47" s="5"/>
      <c r="E47" s="5"/>
      <c r="F47" s="53"/>
    </row>
    <row r="48" spans="1:6" ht="29.25" customHeight="1" thickBot="1" x14ac:dyDescent="0.4">
      <c r="A48" s="51"/>
      <c r="B48" s="64" t="s">
        <v>168</v>
      </c>
      <c r="C48" s="19">
        <v>1</v>
      </c>
      <c r="D48" s="5"/>
      <c r="E48" s="41" t="s">
        <v>145</v>
      </c>
      <c r="F48" s="53"/>
    </row>
    <row r="49" spans="1:6" ht="27.75" customHeight="1" thickBot="1" x14ac:dyDescent="0.4">
      <c r="A49" s="40" t="s">
        <v>151</v>
      </c>
      <c r="B49" s="55" t="s">
        <v>152</v>
      </c>
      <c r="C49" s="56"/>
      <c r="D49" s="57"/>
      <c r="E49" s="69"/>
      <c r="F49" s="57"/>
    </row>
    <row r="50" spans="1:6" ht="29.25" customHeight="1" thickBot="1" x14ac:dyDescent="0.4">
      <c r="A50" s="134" t="s">
        <v>142</v>
      </c>
      <c r="B50" s="135"/>
      <c r="C50" s="43">
        <f>SUM(C17:C48)</f>
        <v>46</v>
      </c>
      <c r="D50" s="43">
        <v>3</v>
      </c>
      <c r="E50" s="44"/>
      <c r="F50" s="43">
        <v>107</v>
      </c>
    </row>
    <row r="52" spans="1:6" x14ac:dyDescent="0.35">
      <c r="A52" t="s">
        <v>169</v>
      </c>
      <c r="D52" t="s">
        <v>170</v>
      </c>
    </row>
    <row r="56" spans="1:6" x14ac:dyDescent="0.35">
      <c r="A56" t="s">
        <v>171</v>
      </c>
      <c r="D56" t="s">
        <v>177</v>
      </c>
    </row>
    <row r="57" spans="1:6" x14ac:dyDescent="0.35">
      <c r="A57" t="s">
        <v>173</v>
      </c>
      <c r="D57" t="s">
        <v>174</v>
      </c>
    </row>
    <row r="58" spans="1:6" x14ac:dyDescent="0.35">
      <c r="A58" t="s">
        <v>175</v>
      </c>
      <c r="D58" t="s">
        <v>176</v>
      </c>
    </row>
  </sheetData>
  <mergeCells count="10">
    <mergeCell ref="A1:F1"/>
    <mergeCell ref="A2:F2"/>
    <mergeCell ref="B5:F5"/>
    <mergeCell ref="A50:B50"/>
    <mergeCell ref="A3:F3"/>
    <mergeCell ref="A4:D4"/>
    <mergeCell ref="A5:A47"/>
    <mergeCell ref="B7:F7"/>
    <mergeCell ref="E4:F4"/>
    <mergeCell ref="B6:F6"/>
  </mergeCells>
  <pageMargins left="0.51181102362204722" right="0.11811023622047245" top="0.55118110236220474" bottom="0.35433070866141736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RUTA 2 LUNES </vt:lpstr>
      <vt:lpstr>RUTA 2 MARTES</vt:lpstr>
      <vt:lpstr>RUTA 2 MIERCOLES</vt:lpstr>
      <vt:lpstr>RUTA 2 JUEVES </vt:lpstr>
      <vt:lpstr>RUTA 2 VIERNES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2024-07-01T13:29:17Z</cp:lastPrinted>
  <dcterms:created xsi:type="dcterms:W3CDTF">2021-07-20T15:12:43Z</dcterms:created>
  <dcterms:modified xsi:type="dcterms:W3CDTF">2024-09-11T15:50:28Z</dcterms:modified>
</cp:coreProperties>
</file>