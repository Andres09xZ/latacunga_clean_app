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RUTAS COMPLETAS 2024\rUTAS rECOLECCION\RUTAS RECOLECCION CARGA POSTERIOR\"/>
    </mc:Choice>
  </mc:AlternateContent>
  <bookViews>
    <workbookView xWindow="0" yWindow="0" windowWidth="11630" windowHeight="2930" activeTab="4"/>
  </bookViews>
  <sheets>
    <sheet name="RUTA 5 LUNES " sheetId="18" r:id="rId1"/>
    <sheet name="RUTA 5 MARTES" sheetId="19" r:id="rId2"/>
    <sheet name="RUTA 5 MIERCOLES" sheetId="20" r:id="rId3"/>
    <sheet name="RUTA 5 JUEVES" sheetId="21" r:id="rId4"/>
    <sheet name="RUTA 5 VIERNES" sheetId="2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7" i="18" l="1"/>
  <c r="C43" i="21" l="1"/>
  <c r="C30" i="20" l="1"/>
  <c r="C35" i="19"/>
</calcChain>
</file>

<file path=xl/sharedStrings.xml><?xml version="1.0" encoding="utf-8"?>
<sst xmlns="http://schemas.openxmlformats.org/spreadsheetml/2006/main" count="294" uniqueCount="163">
  <si>
    <t>RUTAS DEL SERVICIO DE RECOLECCION DE DESECHOS SÓLIDOS COMUNES.</t>
  </si>
  <si>
    <t>LUNES</t>
  </si>
  <si>
    <t>Horario: 07h30 a 16h30.</t>
  </si>
  <si>
    <t>JUEVES.</t>
  </si>
  <si>
    <t>MIÉRCOLES.</t>
  </si>
  <si>
    <t xml:space="preserve">VIERNES. </t>
  </si>
  <si>
    <t>MARTES.</t>
  </si>
  <si>
    <t>2.-</t>
  </si>
  <si>
    <t>Unidad Educativa Patutan</t>
  </si>
  <si>
    <t xml:space="preserve">RUTA 5: POALÓ - 11 DE NOVIEMBRE - ELOY ALFARO. </t>
  </si>
  <si>
    <t>Cdla. Jaime Hurtado.</t>
  </si>
  <si>
    <t xml:space="preserve">Barrio San Rafael y alrededores. </t>
  </si>
  <si>
    <t xml:space="preserve">Cdla. Valle Hermoso y alrededores. </t>
  </si>
  <si>
    <t xml:space="preserve">Calle Bolivia y alrededores. </t>
  </si>
  <si>
    <t xml:space="preserve">Barrio Loma Grande y alrededores. </t>
  </si>
  <si>
    <t xml:space="preserve">Centro de Salud Loma Grande y alrededores. </t>
  </si>
  <si>
    <t xml:space="preserve">Barrio Santa Rosa de Pichul y alrededores. </t>
  </si>
  <si>
    <t xml:space="preserve">Barrio San José de Pichul y alrededores. </t>
  </si>
  <si>
    <t xml:space="preserve">Sector los Hornos y alrededores. </t>
  </si>
  <si>
    <t xml:space="preserve">Barrio Tanialo y alrededores. </t>
  </si>
  <si>
    <t xml:space="preserve">Barrio La Calera y alrededores. </t>
  </si>
  <si>
    <t xml:space="preserve">Barrio Patután y alrededores. </t>
  </si>
  <si>
    <t xml:space="preserve">Centro de Salud Patutan y alrededores. </t>
  </si>
  <si>
    <t xml:space="preserve">Parroquia Poalo centro y alrededores. </t>
  </si>
  <si>
    <t xml:space="preserve">Centro de Salud Poalo y alrededores. </t>
  </si>
  <si>
    <t xml:space="preserve">Cementerio Poalo y alrededores. </t>
  </si>
  <si>
    <t xml:space="preserve">Barrio Marquéz de Maenza y alrededores. </t>
  </si>
  <si>
    <t xml:space="preserve">Parroquia 11 de Noviembre y alrededores. </t>
  </si>
  <si>
    <t xml:space="preserve">Barrio Plazas Arenas y alrededores. </t>
  </si>
  <si>
    <t xml:space="preserve">Barrio Cristo Rey y alrededores. </t>
  </si>
  <si>
    <t xml:space="preserve">Barrio San Pedro y alrededores. </t>
  </si>
  <si>
    <t xml:space="preserve">Barrio San Alfonso y alrededores. </t>
  </si>
  <si>
    <t xml:space="preserve">Barrio San Gerardo y alrededores. </t>
  </si>
  <si>
    <t xml:space="preserve">Barrio Las Parcelas y alrededores. </t>
  </si>
  <si>
    <t xml:space="preserve">Barrio Pilligsilli y alrededores. </t>
  </si>
  <si>
    <t xml:space="preserve">Barrio Maca Chico y alrededores. </t>
  </si>
  <si>
    <t xml:space="preserve">San Vicente y alrededores. </t>
  </si>
  <si>
    <t xml:space="preserve">Chantilin Chico y alrededores. </t>
  </si>
  <si>
    <t xml:space="preserve">Barrio Mariscal Sucre y alrededores. </t>
  </si>
  <si>
    <t xml:space="preserve">Barrio Santa Rosa y alrededores. </t>
  </si>
  <si>
    <t xml:space="preserve">Motel Tentacion y alrededores. </t>
  </si>
  <si>
    <t xml:space="preserve">Via al Barrio Salache Rumipamba y alrededores. </t>
  </si>
  <si>
    <t xml:space="preserve">Universidad Técnica de Cotopaxi - Salache CEYPSA y alrededores.  </t>
  </si>
  <si>
    <t xml:space="preserve">Barrio Tiobamba y alrededores. </t>
  </si>
  <si>
    <t xml:space="preserve">Vía Barrio San Juan y alrededores. </t>
  </si>
  <si>
    <t xml:space="preserve">Barrio Chan y alrededores. </t>
  </si>
  <si>
    <t xml:space="preserve">Semáforos Barrio Chan - E35 - Barrio Chugchilán. </t>
  </si>
  <si>
    <t xml:space="preserve">Barrio Loma de Laglas y alrededores. </t>
  </si>
  <si>
    <t xml:space="preserve">Barrio El Calvario Mirador y alrededores. </t>
  </si>
  <si>
    <t xml:space="preserve">Barrio Brazales y alrededores. </t>
  </si>
  <si>
    <t xml:space="preserve">Barrio Guapulo y alrededores. </t>
  </si>
  <si>
    <t xml:space="preserve">Barrio Santo Samana y alrededores. </t>
  </si>
  <si>
    <t xml:space="preserve">Barrio Tilipulo y alrededores. </t>
  </si>
  <si>
    <t xml:space="preserve">Empresa INCUBANDINA POALÓ y alrededores. </t>
  </si>
  <si>
    <t xml:space="preserve">Barrio El Bosque - San José de Pichul y alrededores. </t>
  </si>
  <si>
    <t xml:space="preserve">Vía E35 - Patután - La Calera - Los Arupos. </t>
  </si>
  <si>
    <t xml:space="preserve">Motel Naranja Azul  y alrededores. </t>
  </si>
  <si>
    <t xml:space="preserve">Barrio San Juan y alrededores. </t>
  </si>
  <si>
    <t xml:space="preserve">Barrio Chan Chico y alrededores. </t>
  </si>
  <si>
    <t xml:space="preserve">Barrio Chan Grande y alrededores. </t>
  </si>
  <si>
    <t xml:space="preserve">Empresa Incubandina - Chugchilán. </t>
  </si>
  <si>
    <t xml:space="preserve">Barrio San Antonio de Cruz Loma y alrededores. </t>
  </si>
  <si>
    <t xml:space="preserve">Barrio San Vicente de Poaló y alrededores. </t>
  </si>
  <si>
    <t xml:space="preserve">Unidad Educativa San Vicente y alrededores. </t>
  </si>
  <si>
    <t xml:space="preserve">Hacienda Santa Teresita y alrededores. </t>
  </si>
  <si>
    <t xml:space="preserve">Empresas Ok Roses - Explocen y alrededores. </t>
  </si>
  <si>
    <t xml:space="preserve">Barrio Santa Marianita y alrededores. </t>
  </si>
  <si>
    <t xml:space="preserve">Barrio La Calerita y alrededores. </t>
  </si>
  <si>
    <t xml:space="preserve">Cervecería Nacional y alrededores. </t>
  </si>
  <si>
    <t xml:space="preserve">Gasolinera Divino Niño - Ex - Panamericana hacia el intercambiador El Mayorista. </t>
  </si>
  <si>
    <t xml:space="preserve">Gasolinera Albán y alrededores. </t>
  </si>
  <si>
    <t xml:space="preserve">Cdla. Parte posterior de la Gasolinera Albán y alrededores. </t>
  </si>
  <si>
    <t xml:space="preserve">Sector PetroEcuador - Petro - Comercial y alrededores. </t>
  </si>
  <si>
    <t xml:space="preserve">Gasolinera Virgen de las Mercedes y alrededores. </t>
  </si>
  <si>
    <t>PARROQUIAS/BARRIOS/ SECTORES  ATENDIDOS</t>
  </si>
  <si>
    <t>CONTENEDORES EPAGAL</t>
  </si>
  <si>
    <t>Total Contenedores Levantados</t>
  </si>
  <si>
    <t>CONTENEDORES //PRIVADOS //GAD PARROQUIAL</t>
  </si>
  <si>
    <t>Pie de vereda</t>
  </si>
  <si>
    <t>pie de vereda</t>
  </si>
  <si>
    <t xml:space="preserve">Total </t>
  </si>
  <si>
    <t>cada 15 dias</t>
  </si>
  <si>
    <t>Luz de America</t>
  </si>
  <si>
    <t>Tilipulo</t>
  </si>
  <si>
    <t xml:space="preserve">Santo Samana </t>
  </si>
  <si>
    <t xml:space="preserve">Jardin de los Andes </t>
  </si>
  <si>
    <t>Motel Tentacion y alrededores hacia la E35</t>
  </si>
  <si>
    <t xml:space="preserve">Barrio Tiobamba  y alrededores. </t>
  </si>
  <si>
    <t>Barrio Poalo y sus alrrededores</t>
  </si>
  <si>
    <t xml:space="preserve">Parroquia 11 de Noviembre </t>
  </si>
  <si>
    <t>Cristo Rey</t>
  </si>
  <si>
    <t xml:space="preserve">Escalera loma </t>
  </si>
  <si>
    <t>Zumbalica</t>
  </si>
  <si>
    <t>Total</t>
  </si>
  <si>
    <t>Gasolinera Virgen de las Mercedes</t>
  </si>
  <si>
    <t xml:space="preserve">Plaza Arenas </t>
  </si>
  <si>
    <t xml:space="preserve">Barrio san Juan de Sarapamba y alrededores. </t>
  </si>
  <si>
    <t>Barrio Loma Grande</t>
  </si>
  <si>
    <t>Barrio San Jose de Pichul</t>
  </si>
  <si>
    <t xml:space="preserve">Barrio Chantan y alrededores. </t>
  </si>
  <si>
    <t>Barrio La Calera y alrededores hasta los Arupos</t>
  </si>
  <si>
    <t>Barrio Chugchilán y alrrededores</t>
  </si>
  <si>
    <t>Via al barrio Zumbalica y sus alrrededores</t>
  </si>
  <si>
    <t>Barrio Zumbalica y sus alrrededores</t>
  </si>
  <si>
    <t>Barrio Escaleraloma y sus allrededores</t>
  </si>
  <si>
    <t>Barrio Loma de Laglas y alrededores</t>
  </si>
  <si>
    <t xml:space="preserve">Tachos metalicos particulares. Pie de vereda </t>
  </si>
  <si>
    <t>Parte de afuera del CRS (Carcel)</t>
  </si>
  <si>
    <t xml:space="preserve">CONTENEDORES //PRIVADOS </t>
  </si>
  <si>
    <t>Total Contenedores levantados</t>
  </si>
  <si>
    <t xml:space="preserve">Total Contenedores Levantados </t>
  </si>
  <si>
    <t>KILOMETROS RECORRIDOS</t>
  </si>
  <si>
    <t xml:space="preserve">Número de viajes </t>
  </si>
  <si>
    <t>Viaje N° 1</t>
  </si>
  <si>
    <t>Viaje N° 2</t>
  </si>
  <si>
    <t xml:space="preserve">Hacienda Tilipulo y frenta a la hacienda </t>
  </si>
  <si>
    <t xml:space="preserve">2.- </t>
  </si>
  <si>
    <t xml:space="preserve"> Ayudantes 1.- </t>
  </si>
  <si>
    <t xml:space="preserve">Chofer: </t>
  </si>
  <si>
    <t>Ayudantes: 1.-</t>
  </si>
  <si>
    <t xml:space="preserve"> Rutas 5, vehículo recolector de carga posterior XMA</t>
  </si>
  <si>
    <t xml:space="preserve">Ayudantes: 1.- </t>
  </si>
  <si>
    <t xml:space="preserve"> Rutas 5, vehículo recolector de carga posterior.XMA</t>
  </si>
  <si>
    <t>Ayudantes 1.-</t>
  </si>
  <si>
    <t xml:space="preserve"> Rutas 5, vehículo recolector de carga posterior. XMA </t>
  </si>
  <si>
    <t xml:space="preserve"> Rutas 5, vehículo recolector de carga posterior </t>
  </si>
  <si>
    <t>Gasolinera Divino Niño - Ex Panamericana hacia el Intercambiador del M. Mayorista.</t>
  </si>
  <si>
    <t>La compania y sus alrededores</t>
  </si>
  <si>
    <t>Barrio la Union y sus alrededores</t>
  </si>
  <si>
    <t>Barrio Angamarca y sus alrededores</t>
  </si>
  <si>
    <t>Barrio San Pedro y sus alrededores</t>
  </si>
  <si>
    <t>TIEMPO APROXIMADO PRESTAR EL  SERVICIO</t>
  </si>
  <si>
    <t>TIEMPO APROXIMADO PRESTAR EL SERVICIO</t>
  </si>
  <si>
    <t>Plantacion Grupo Naranjo</t>
  </si>
  <si>
    <t>Salache Buena Esperanza y alrededores</t>
  </si>
  <si>
    <t>Barrio Taniloma y sus alrrededores</t>
  </si>
  <si>
    <t xml:space="preserve">Barrio a Salache grande </t>
  </si>
  <si>
    <t>Unidad Educativa San Juan y sus alrededores</t>
  </si>
  <si>
    <t>Barrio Patutan y sus alrededores</t>
  </si>
  <si>
    <t>Via E35- Patutan- La calera Los Arupos</t>
  </si>
  <si>
    <t>TIEMPO APROXIMADO EN PRESTAR EL SERVICIO</t>
  </si>
  <si>
    <t>Universidad Tecnica de Cotopaxi- Salache CEYSA y sus alrededores</t>
  </si>
  <si>
    <t>Lactios la Finca</t>
  </si>
  <si>
    <t>BarrioLuz de America</t>
  </si>
  <si>
    <t>Barrio Angarmarca y alreddeores</t>
  </si>
  <si>
    <t>Via a Zumbalica y sus alrededores</t>
  </si>
  <si>
    <t>Escalera Loma y sus alrededores</t>
  </si>
  <si>
    <t>Zumbalica y sus alrededores</t>
  </si>
  <si>
    <t>Sector la Carcel afueras</t>
  </si>
  <si>
    <t>KILOMETROS RECORRIDOS//</t>
  </si>
  <si>
    <t>KILOMETROS RECORRIDOS/</t>
  </si>
  <si>
    <t xml:space="preserve">v </t>
  </si>
  <si>
    <t xml:space="preserve"> Rutas 5, vehículo recolector de carga posterior</t>
  </si>
  <si>
    <t>Chofer: 1</t>
  </si>
  <si>
    <t>Ayudantes 2</t>
  </si>
  <si>
    <t>Elaborado por:</t>
  </si>
  <si>
    <t>Revisado por:</t>
  </si>
  <si>
    <t>____________________________________</t>
  </si>
  <si>
    <t>_______________________________________</t>
  </si>
  <si>
    <t>Ing. Raúl Andino R.</t>
  </si>
  <si>
    <t>Mgs. Miriam Zapata Rojas</t>
  </si>
  <si>
    <t>ANALISTA DE SERVICIOS OPERATIVOS</t>
  </si>
  <si>
    <t>JEFE DESECHOS SOLIDOS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</si>
</sst>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scheme val="minor"/>
    </font>
    <font>
      <b/>
      <i/>
      <sz val="11"/>
      <color theme="1"/>
      <name val="Bookman Old Style"/>
      <family val="1"/>
    </font>
    <font>
      <b/>
      <i/>
      <sz val="22"/>
      <color theme="1"/>
      <name val="Bookman Old Style"/>
      <family val="1"/>
    </font>
    <font>
      <i/>
      <sz val="10"/>
      <color theme="1"/>
      <name val="Bookman Old Style"/>
      <family val="1"/>
    </font>
    <font>
      <b/>
      <i/>
      <sz val="14"/>
      <color theme="1"/>
      <name val="Bookman Old Style"/>
      <family val="1"/>
    </font>
    <font>
      <b/>
      <i/>
      <sz val="18"/>
      <color theme="1"/>
      <name val="Bookman Old Style"/>
      <family val="1"/>
    </font>
    <font>
      <i/>
      <sz val="10"/>
      <color theme="1"/>
      <name val="Calibri"/>
      <family val="2"/>
      <scheme val="minor"/>
    </font>
    <font>
      <b/>
      <i/>
      <sz val="9"/>
      <color theme="1"/>
      <name val="Bookman Old Style"/>
      <family val="1"/>
    </font>
    <font>
      <sz val="8"/>
      <color theme="1"/>
      <name val="Calibri"/>
      <family val="2"/>
      <scheme val="minor"/>
    </font>
    <font>
      <b/>
      <i/>
      <sz val="10"/>
      <color theme="1"/>
      <name val="Bookman Old Style"/>
      <family val="1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4"/>
      <color theme="1"/>
      <name val="Bookman Old Style"/>
      <family val="1"/>
    </font>
    <font>
      <b/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22"/>
      <color theme="1"/>
      <name val="Bookman Old Style"/>
      <family val="1"/>
    </font>
    <font>
      <b/>
      <sz val="18"/>
      <color theme="1"/>
      <name val="Bookman Old Style"/>
      <family val="1"/>
    </font>
    <font>
      <b/>
      <sz val="14"/>
      <color theme="1"/>
      <name val="Calibri"/>
      <family val="2"/>
      <scheme val="minor"/>
    </font>
    <font>
      <b/>
      <sz val="9"/>
      <color theme="1"/>
      <name val="Bookman Old Style"/>
      <family val="1"/>
    </font>
    <font>
      <sz val="10"/>
      <color theme="1"/>
      <name val="Bookman Old Style"/>
      <family val="1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0" fontId="7" fillId="0" borderId="9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0" xfId="0" applyFont="1" applyBorder="1" applyAlignment="1">
      <alignment vertical="center"/>
    </xf>
    <xf numFmtId="0" fontId="3" fillId="0" borderId="10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Fill="1" applyBorder="1" applyAlignment="1">
      <alignment horizontal="left" vertical="center"/>
    </xf>
    <xf numFmtId="0" fontId="0" fillId="0" borderId="17" xfId="0" applyBorder="1"/>
    <xf numFmtId="0" fontId="8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/>
    <xf numFmtId="0" fontId="0" fillId="0" borderId="0" xfId="0" applyFill="1"/>
    <xf numFmtId="0" fontId="3" fillId="0" borderId="1" xfId="0" applyFont="1" applyFill="1" applyBorder="1" applyAlignment="1">
      <alignment wrapText="1"/>
    </xf>
    <xf numFmtId="0" fontId="8" fillId="0" borderId="9" xfId="0" applyFont="1" applyBorder="1"/>
    <xf numFmtId="0" fontId="9" fillId="0" borderId="3" xfId="0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0" fontId="3" fillId="0" borderId="10" xfId="0" applyFont="1" applyFill="1" applyBorder="1" applyAlignment="1">
      <alignment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wrapText="1"/>
    </xf>
    <xf numFmtId="0" fontId="3" fillId="0" borderId="10" xfId="0" applyFont="1" applyBorder="1" applyAlignment="1">
      <alignment wrapText="1"/>
    </xf>
    <xf numFmtId="0" fontId="3" fillId="0" borderId="10" xfId="0" applyFont="1" applyFill="1" applyBorder="1" applyAlignment="1">
      <alignment vertical="center"/>
    </xf>
    <xf numFmtId="0" fontId="8" fillId="0" borderId="1" xfId="0" applyFont="1" applyBorder="1" applyAlignment="1">
      <alignment wrapText="1"/>
    </xf>
    <xf numFmtId="0" fontId="3" fillId="0" borderId="10" xfId="0" applyFont="1" applyFill="1" applyBorder="1" applyAlignment="1">
      <alignment wrapText="1"/>
    </xf>
    <xf numFmtId="0" fontId="0" fillId="0" borderId="1" xfId="0" applyFill="1" applyBorder="1"/>
    <xf numFmtId="0" fontId="3" fillId="0" borderId="10" xfId="0" applyFont="1" applyFill="1" applyBorder="1" applyAlignment="1">
      <alignment horizontal="left" wrapText="1"/>
    </xf>
    <xf numFmtId="0" fontId="3" fillId="0" borderId="10" xfId="0" applyFont="1" applyFill="1" applyBorder="1"/>
    <xf numFmtId="0" fontId="8" fillId="0" borderId="17" xfId="0" applyFont="1" applyBorder="1" applyAlignment="1">
      <alignment wrapText="1"/>
    </xf>
    <xf numFmtId="0" fontId="8" fillId="0" borderId="17" xfId="0" applyFont="1" applyBorder="1"/>
    <xf numFmtId="0" fontId="0" fillId="0" borderId="1" xfId="0" applyBorder="1" applyAlignment="1"/>
    <xf numFmtId="0" fontId="0" fillId="0" borderId="18" xfId="0" applyBorder="1"/>
    <xf numFmtId="0" fontId="10" fillId="0" borderId="18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8" fillId="0" borderId="34" xfId="0" applyFont="1" applyBorder="1"/>
    <xf numFmtId="0" fontId="15" fillId="0" borderId="3" xfId="0" applyFont="1" applyBorder="1"/>
    <xf numFmtId="0" fontId="14" fillId="0" borderId="6" xfId="0" applyFont="1" applyBorder="1" applyAlignment="1">
      <alignment horizontal="left"/>
    </xf>
    <xf numFmtId="0" fontId="15" fillId="0" borderId="20" xfId="0" applyFont="1" applyBorder="1"/>
    <xf numFmtId="0" fontId="15" fillId="0" borderId="19" xfId="0" applyFont="1" applyBorder="1"/>
    <xf numFmtId="0" fontId="6" fillId="0" borderId="24" xfId="0" applyFont="1" applyBorder="1"/>
    <xf numFmtId="0" fontId="6" fillId="0" borderId="25" xfId="0" applyFont="1" applyBorder="1"/>
    <xf numFmtId="0" fontId="12" fillId="0" borderId="25" xfId="0" applyFont="1" applyBorder="1" applyAlignment="1">
      <alignment horizontal="center"/>
    </xf>
    <xf numFmtId="0" fontId="12" fillId="0" borderId="3" xfId="0" applyFont="1" applyBorder="1" applyAlignment="1"/>
    <xf numFmtId="0" fontId="14" fillId="0" borderId="14" xfId="0" applyFont="1" applyBorder="1" applyAlignment="1"/>
    <xf numFmtId="0" fontId="15" fillId="0" borderId="23" xfId="0" applyFont="1" applyBorder="1"/>
    <xf numFmtId="0" fontId="15" fillId="0" borderId="30" xfId="0" applyFont="1" applyBorder="1"/>
    <xf numFmtId="0" fontId="15" fillId="0" borderId="15" xfId="0" applyFont="1" applyBorder="1"/>
    <xf numFmtId="0" fontId="12" fillId="0" borderId="23" xfId="0" applyFont="1" applyBorder="1" applyAlignment="1"/>
    <xf numFmtId="0" fontId="3" fillId="0" borderId="21" xfId="0" applyFont="1" applyBorder="1" applyAlignment="1">
      <alignment horizontal="center" vertical="center"/>
    </xf>
    <xf numFmtId="0" fontId="0" fillId="0" borderId="9" xfId="0" applyBorder="1"/>
    <xf numFmtId="0" fontId="21" fillId="0" borderId="26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center" vertical="center" wrapText="1"/>
    </xf>
    <xf numFmtId="0" fontId="22" fillId="0" borderId="21" xfId="0" applyFont="1" applyBorder="1" applyAlignment="1">
      <alignment vertical="center" wrapText="1"/>
    </xf>
    <xf numFmtId="0" fontId="22" fillId="0" borderId="9" xfId="0" applyFont="1" applyBorder="1" applyAlignment="1">
      <alignment horizontal="center" vertical="center"/>
    </xf>
    <xf numFmtId="0" fontId="22" fillId="0" borderId="10" xfId="0" applyFont="1" applyBorder="1" applyAlignment="1">
      <alignment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10" xfId="0" applyFont="1" applyFill="1" applyBorder="1" applyAlignment="1">
      <alignment vertical="center" wrapText="1"/>
    </xf>
    <xf numFmtId="0" fontId="22" fillId="0" borderId="10" xfId="0" applyFont="1" applyFill="1" applyBorder="1" applyAlignment="1">
      <alignment vertical="center"/>
    </xf>
    <xf numFmtId="0" fontId="22" fillId="0" borderId="30" xfId="0" applyFont="1" applyFill="1" applyBorder="1" applyAlignment="1">
      <alignment vertical="center" wrapText="1"/>
    </xf>
    <xf numFmtId="0" fontId="22" fillId="0" borderId="10" xfId="0" applyFont="1" applyBorder="1" applyAlignment="1">
      <alignment vertical="center"/>
    </xf>
    <xf numFmtId="0" fontId="22" fillId="0" borderId="1" xfId="0" applyFont="1" applyFill="1" applyBorder="1" applyAlignment="1">
      <alignment horizontal="center" vertical="center"/>
    </xf>
    <xf numFmtId="0" fontId="22" fillId="0" borderId="30" xfId="0" applyFont="1" applyFill="1" applyBorder="1" applyAlignment="1">
      <alignment vertical="center"/>
    </xf>
    <xf numFmtId="0" fontId="22" fillId="0" borderId="15" xfId="0" applyFont="1" applyFill="1" applyBorder="1" applyAlignment="1">
      <alignment horizontal="center" vertical="center"/>
    </xf>
    <xf numFmtId="0" fontId="22" fillId="0" borderId="10" xfId="0" applyFont="1" applyFill="1" applyBorder="1"/>
    <xf numFmtId="0" fontId="22" fillId="0" borderId="10" xfId="0" applyFont="1" applyFill="1" applyBorder="1" applyAlignment="1">
      <alignment wrapText="1"/>
    </xf>
    <xf numFmtId="0" fontId="22" fillId="0" borderId="10" xfId="0" applyFont="1" applyFill="1" applyBorder="1" applyAlignment="1">
      <alignment horizontal="left" vertical="center"/>
    </xf>
    <xf numFmtId="0" fontId="22" fillId="0" borderId="22" xfId="0" applyFont="1" applyFill="1" applyBorder="1" applyAlignment="1">
      <alignment horizontal="left" vertical="center"/>
    </xf>
    <xf numFmtId="0" fontId="22" fillId="0" borderId="17" xfId="0" applyFont="1" applyBorder="1" applyAlignment="1">
      <alignment horizontal="center" vertical="center"/>
    </xf>
    <xf numFmtId="0" fontId="10" fillId="0" borderId="3" xfId="0" applyFont="1" applyBorder="1" applyAlignment="1"/>
    <xf numFmtId="0" fontId="22" fillId="0" borderId="37" xfId="0" applyFont="1" applyBorder="1" applyAlignment="1">
      <alignment horizontal="center" vertical="center"/>
    </xf>
    <xf numFmtId="0" fontId="10" fillId="0" borderId="3" xfId="0" applyFont="1" applyBorder="1" applyAlignment="1">
      <alignment horizontal="left"/>
    </xf>
    <xf numFmtId="0" fontId="22" fillId="0" borderId="10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/>
    </xf>
    <xf numFmtId="0" fontId="0" fillId="0" borderId="0" xfId="0" applyFont="1"/>
    <xf numFmtId="0" fontId="5" fillId="2" borderId="29" xfId="0" applyFont="1" applyFill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1" fillId="0" borderId="1" xfId="0" applyFont="1" applyBorder="1" applyAlignment="1"/>
    <xf numFmtId="0" fontId="11" fillId="0" borderId="1" xfId="0" applyFont="1" applyBorder="1" applyAlignment="1">
      <alignment horizontal="left"/>
    </xf>
    <xf numFmtId="0" fontId="9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/>
    </xf>
    <xf numFmtId="0" fontId="9" fillId="0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5" fillId="2" borderId="17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left" vertical="center"/>
    </xf>
    <xf numFmtId="0" fontId="1" fillId="0" borderId="8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2" fillId="3" borderId="8" xfId="0" applyFont="1" applyFill="1" applyBorder="1" applyAlignment="1">
      <alignment horizontal="center" vertical="center" textRotation="90" wrapText="1"/>
    </xf>
    <xf numFmtId="0" fontId="2" fillId="3" borderId="16" xfId="0" applyFont="1" applyFill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/>
    </xf>
    <xf numFmtId="0" fontId="17" fillId="0" borderId="6" xfId="0" applyFont="1" applyBorder="1" applyAlignment="1">
      <alignment horizontal="left"/>
    </xf>
    <xf numFmtId="0" fontId="20" fillId="0" borderId="4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19" fillId="2" borderId="13" xfId="0" applyFont="1" applyFill="1" applyBorder="1" applyAlignment="1">
      <alignment horizontal="left" vertical="center"/>
    </xf>
    <xf numFmtId="0" fontId="19" fillId="2" borderId="5" xfId="0" applyFont="1" applyFill="1" applyBorder="1" applyAlignment="1">
      <alignment horizontal="left" vertical="center"/>
    </xf>
    <xf numFmtId="0" fontId="17" fillId="0" borderId="4" xfId="0" applyFont="1" applyBorder="1" applyAlignment="1">
      <alignment horizontal="left" wrapText="1"/>
    </xf>
    <xf numFmtId="0" fontId="17" fillId="0" borderId="5" xfId="0" applyFont="1" applyBorder="1" applyAlignment="1">
      <alignment horizontal="left" wrapText="1"/>
    </xf>
    <xf numFmtId="0" fontId="17" fillId="0" borderId="6" xfId="0" applyFont="1" applyBorder="1" applyAlignment="1">
      <alignment horizontal="left" wrapText="1"/>
    </xf>
    <xf numFmtId="0" fontId="17" fillId="0" borderId="5" xfId="0" applyFont="1" applyBorder="1" applyAlignment="1">
      <alignment horizontal="left"/>
    </xf>
    <xf numFmtId="0" fontId="0" fillId="0" borderId="7" xfId="0" applyFont="1" applyBorder="1" applyAlignment="1">
      <alignment horizontal="center"/>
    </xf>
    <xf numFmtId="0" fontId="18" fillId="3" borderId="11" xfId="0" applyFont="1" applyFill="1" applyBorder="1" applyAlignment="1">
      <alignment horizontal="center" vertical="center" textRotation="90" wrapText="1"/>
    </xf>
    <xf numFmtId="0" fontId="18" fillId="3" borderId="12" xfId="0" applyFont="1" applyFill="1" applyBorder="1" applyAlignment="1">
      <alignment horizontal="center" vertical="center" textRotation="90" wrapText="1"/>
    </xf>
    <xf numFmtId="0" fontId="17" fillId="0" borderId="32" xfId="0" applyFont="1" applyBorder="1" applyAlignment="1">
      <alignment horizontal="left" vertical="center"/>
    </xf>
    <xf numFmtId="0" fontId="17" fillId="0" borderId="33" xfId="0" applyFont="1" applyBorder="1" applyAlignment="1">
      <alignment horizontal="left" vertical="center"/>
    </xf>
    <xf numFmtId="0" fontId="17" fillId="0" borderId="27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24" fillId="0" borderId="31" xfId="0" applyFont="1" applyBorder="1" applyAlignment="1">
      <alignment horizontal="left"/>
    </xf>
    <xf numFmtId="0" fontId="24" fillId="0" borderId="25" xfId="0" applyFont="1" applyBorder="1" applyAlignment="1">
      <alignment horizontal="left"/>
    </xf>
    <xf numFmtId="0" fontId="23" fillId="0" borderId="35" xfId="0" applyFont="1" applyBorder="1" applyAlignment="1">
      <alignment horizontal="center" wrapText="1"/>
    </xf>
    <xf numFmtId="0" fontId="23" fillId="0" borderId="36" xfId="0" applyFont="1" applyBorder="1" applyAlignment="1">
      <alignment horizontal="center" wrapText="1"/>
    </xf>
    <xf numFmtId="0" fontId="14" fillId="0" borderId="11" xfId="0" applyFont="1" applyBorder="1" applyAlignment="1">
      <alignment horizontal="center" wrapText="1"/>
    </xf>
    <xf numFmtId="0" fontId="14" fillId="0" borderId="23" xfId="0" applyFont="1" applyBorder="1" applyAlignment="1">
      <alignment horizont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center" vertical="center" textRotation="90" wrapText="1"/>
    </xf>
    <xf numFmtId="0" fontId="2" fillId="3" borderId="12" xfId="0" applyFont="1" applyFill="1" applyBorder="1" applyAlignment="1">
      <alignment horizontal="center" vertical="center" textRotation="90" wrapText="1"/>
    </xf>
    <xf numFmtId="0" fontId="1" fillId="0" borderId="28" xfId="0" applyFont="1" applyBorder="1" applyAlignment="1">
      <alignment horizontal="left"/>
    </xf>
    <xf numFmtId="0" fontId="12" fillId="0" borderId="11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left"/>
    </xf>
    <xf numFmtId="0" fontId="12" fillId="0" borderId="25" xfId="0" applyFont="1" applyBorder="1" applyAlignment="1">
      <alignment horizontal="left"/>
    </xf>
    <xf numFmtId="0" fontId="13" fillId="0" borderId="5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28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2" fillId="3" borderId="0" xfId="0" applyFont="1" applyFill="1" applyBorder="1" applyAlignment="1">
      <alignment horizontal="center" vertical="center" textRotation="90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opLeftCell="A28" workbookViewId="0">
      <selection activeCell="A39" sqref="A39:E45"/>
    </sheetView>
  </sheetViews>
  <sheetFormatPr baseColWidth="10" defaultRowHeight="14.5" x14ac:dyDescent="0.35"/>
  <cols>
    <col min="1" max="1" width="6.7265625" customWidth="1"/>
    <col min="2" max="2" width="28.54296875" customWidth="1"/>
    <col min="3" max="3" width="19" customWidth="1"/>
    <col min="4" max="4" width="14.7265625" customWidth="1"/>
    <col min="5" max="5" width="17.1796875" customWidth="1"/>
    <col min="6" max="6" width="18.453125" customWidth="1"/>
  </cols>
  <sheetData>
    <row r="1" spans="1:9" ht="36" customHeight="1" thickBot="1" x14ac:dyDescent="0.4">
      <c r="A1" s="91" t="s">
        <v>0</v>
      </c>
      <c r="B1" s="92"/>
      <c r="C1" s="92"/>
      <c r="D1" s="92"/>
      <c r="E1" s="92"/>
      <c r="F1" s="93"/>
    </row>
    <row r="2" spans="1:9" ht="21.75" customHeight="1" thickBot="1" x14ac:dyDescent="0.4">
      <c r="A2" s="94" t="s">
        <v>125</v>
      </c>
      <c r="B2" s="95"/>
      <c r="C2" s="95"/>
      <c r="D2" s="95"/>
      <c r="E2" s="95"/>
      <c r="F2" s="96"/>
    </row>
    <row r="3" spans="1:9" ht="24" customHeight="1" thickBot="1" x14ac:dyDescent="0.4">
      <c r="A3" s="111" t="s">
        <v>118</v>
      </c>
      <c r="B3" s="112"/>
      <c r="C3" s="112"/>
      <c r="D3" s="112"/>
      <c r="E3" s="112"/>
      <c r="F3" s="113"/>
    </row>
    <row r="4" spans="1:9" ht="25.5" customHeight="1" thickBot="1" x14ac:dyDescent="0.4">
      <c r="A4" s="102" t="s">
        <v>117</v>
      </c>
      <c r="B4" s="103"/>
      <c r="C4" s="103"/>
      <c r="D4" s="97" t="s">
        <v>116</v>
      </c>
      <c r="E4" s="98"/>
      <c r="F4" s="99"/>
    </row>
    <row r="5" spans="1:9" ht="19.5" customHeight="1" thickBot="1" x14ac:dyDescent="0.4">
      <c r="A5" s="104" t="s">
        <v>9</v>
      </c>
      <c r="B5" s="100" t="s">
        <v>1</v>
      </c>
      <c r="C5" s="100"/>
      <c r="D5" s="101"/>
      <c r="E5" s="101"/>
      <c r="F5" s="101"/>
    </row>
    <row r="6" spans="1:9" ht="20.25" customHeight="1" thickBot="1" x14ac:dyDescent="0.4">
      <c r="A6" s="105"/>
      <c r="B6" s="106" t="s">
        <v>76</v>
      </c>
      <c r="C6" s="107"/>
      <c r="D6" s="108"/>
      <c r="E6" s="109">
        <v>59</v>
      </c>
      <c r="F6" s="110"/>
    </row>
    <row r="7" spans="1:9" ht="24" customHeight="1" x14ac:dyDescent="0.35">
      <c r="A7" s="105"/>
      <c r="B7" s="90" t="s">
        <v>2</v>
      </c>
      <c r="C7" s="90"/>
      <c r="D7" s="90"/>
      <c r="E7" s="90"/>
      <c r="F7" s="90"/>
    </row>
    <row r="8" spans="1:9" ht="72.75" customHeight="1" x14ac:dyDescent="0.35">
      <c r="A8" s="105"/>
      <c r="B8" s="1" t="s">
        <v>74</v>
      </c>
      <c r="C8" s="2" t="s">
        <v>75</v>
      </c>
      <c r="D8" s="2" t="s">
        <v>108</v>
      </c>
      <c r="E8" s="2" t="s">
        <v>131</v>
      </c>
      <c r="F8" s="2" t="s">
        <v>149</v>
      </c>
    </row>
    <row r="9" spans="1:9" ht="25.5" customHeight="1" x14ac:dyDescent="0.35">
      <c r="A9" s="105"/>
      <c r="B9" s="8" t="s">
        <v>11</v>
      </c>
      <c r="C9" s="17">
        <v>6</v>
      </c>
      <c r="D9" s="11"/>
      <c r="E9" s="6"/>
      <c r="F9" s="6"/>
    </row>
    <row r="10" spans="1:9" ht="21.75" customHeight="1" x14ac:dyDescent="0.35">
      <c r="A10" s="105"/>
      <c r="B10" s="7" t="s">
        <v>10</v>
      </c>
      <c r="C10" s="17">
        <v>6</v>
      </c>
      <c r="D10" s="6"/>
      <c r="E10" s="6"/>
      <c r="F10" s="6"/>
      <c r="I10" s="6"/>
    </row>
    <row r="11" spans="1:9" ht="28.5" customHeight="1" x14ac:dyDescent="0.35">
      <c r="A11" s="105"/>
      <c r="B11" s="8" t="s">
        <v>12</v>
      </c>
      <c r="C11" s="17">
        <v>2</v>
      </c>
      <c r="D11" s="6"/>
      <c r="E11" s="6"/>
      <c r="F11" s="6"/>
    </row>
    <row r="12" spans="1:9" ht="33.75" customHeight="1" x14ac:dyDescent="0.35">
      <c r="A12" s="105"/>
      <c r="B12" s="8" t="s">
        <v>13</v>
      </c>
      <c r="C12" s="17"/>
      <c r="D12" s="6"/>
      <c r="E12" s="16" t="s">
        <v>78</v>
      </c>
      <c r="F12" s="6"/>
    </row>
    <row r="13" spans="1:9" ht="27.75" customHeight="1" x14ac:dyDescent="0.35">
      <c r="A13" s="105"/>
      <c r="B13" s="8" t="s">
        <v>14</v>
      </c>
      <c r="C13" s="17">
        <v>12</v>
      </c>
      <c r="D13" s="6"/>
      <c r="E13" s="16"/>
      <c r="F13" s="6"/>
    </row>
    <row r="14" spans="1:9" ht="32.25" customHeight="1" x14ac:dyDescent="0.35">
      <c r="A14" s="105"/>
      <c r="B14" s="8" t="s">
        <v>15</v>
      </c>
      <c r="C14" s="17"/>
      <c r="D14" s="6"/>
      <c r="E14" s="16" t="s">
        <v>79</v>
      </c>
      <c r="F14" s="6"/>
    </row>
    <row r="15" spans="1:9" ht="33.75" customHeight="1" x14ac:dyDescent="0.35">
      <c r="A15" s="105"/>
      <c r="B15" s="8" t="s">
        <v>16</v>
      </c>
      <c r="C15" s="17">
        <v>2</v>
      </c>
      <c r="D15" s="6"/>
      <c r="E15" s="16" t="s">
        <v>79</v>
      </c>
      <c r="F15" s="6"/>
    </row>
    <row r="16" spans="1:9" ht="39" customHeight="1" x14ac:dyDescent="0.35">
      <c r="A16" s="105"/>
      <c r="B16" s="8" t="s">
        <v>54</v>
      </c>
      <c r="C16" s="17">
        <v>2</v>
      </c>
      <c r="D16" s="6"/>
      <c r="E16" s="16"/>
      <c r="F16" s="6"/>
    </row>
    <row r="17" spans="1:6" ht="36" customHeight="1" x14ac:dyDescent="0.35">
      <c r="A17" s="105"/>
      <c r="B17" s="8" t="s">
        <v>18</v>
      </c>
      <c r="C17" s="17"/>
      <c r="D17" s="6"/>
      <c r="E17" s="16" t="s">
        <v>79</v>
      </c>
      <c r="F17" s="6"/>
    </row>
    <row r="18" spans="1:6" ht="36" customHeight="1" x14ac:dyDescent="0.35">
      <c r="A18" s="105"/>
      <c r="B18" s="8" t="s">
        <v>19</v>
      </c>
      <c r="C18" s="17">
        <v>5</v>
      </c>
      <c r="D18" s="6"/>
      <c r="E18" s="16" t="s">
        <v>79</v>
      </c>
      <c r="F18" s="6"/>
    </row>
    <row r="19" spans="1:6" ht="33.75" customHeight="1" x14ac:dyDescent="0.35">
      <c r="A19" s="105"/>
      <c r="B19" s="8" t="s">
        <v>20</v>
      </c>
      <c r="C19" s="17"/>
      <c r="D19" s="6"/>
      <c r="E19" s="16" t="s">
        <v>79</v>
      </c>
      <c r="F19" s="6"/>
    </row>
    <row r="20" spans="1:6" ht="29.25" customHeight="1" x14ac:dyDescent="0.35">
      <c r="A20" s="105"/>
      <c r="B20" s="8" t="s">
        <v>21</v>
      </c>
      <c r="C20" s="17"/>
      <c r="D20" s="6"/>
      <c r="E20" s="16" t="s">
        <v>79</v>
      </c>
      <c r="F20" s="6"/>
    </row>
    <row r="21" spans="1:6" ht="29.25" customHeight="1" x14ac:dyDescent="0.35">
      <c r="A21" s="105"/>
      <c r="B21" s="8" t="s">
        <v>22</v>
      </c>
      <c r="C21" s="17">
        <v>2</v>
      </c>
      <c r="D21" s="6"/>
      <c r="E21" s="16"/>
      <c r="F21" s="6"/>
    </row>
    <row r="22" spans="1:6" ht="30" customHeight="1" x14ac:dyDescent="0.35">
      <c r="A22" s="105"/>
      <c r="B22" s="8" t="s">
        <v>55</v>
      </c>
      <c r="C22" s="17"/>
      <c r="D22" s="6"/>
      <c r="E22" s="16" t="s">
        <v>79</v>
      </c>
      <c r="F22" s="6"/>
    </row>
    <row r="23" spans="1:6" ht="30" customHeight="1" x14ac:dyDescent="0.35">
      <c r="A23" s="105"/>
      <c r="B23" s="8" t="s">
        <v>127</v>
      </c>
      <c r="C23" s="17"/>
      <c r="D23" s="6"/>
      <c r="E23" s="16"/>
      <c r="F23" s="6"/>
    </row>
    <row r="24" spans="1:6" ht="30" customHeight="1" x14ac:dyDescent="0.35">
      <c r="A24" s="105"/>
      <c r="B24" s="8" t="s">
        <v>128</v>
      </c>
      <c r="C24" s="17"/>
      <c r="D24" s="6"/>
      <c r="E24" s="16"/>
      <c r="F24" s="6"/>
    </row>
    <row r="25" spans="1:6" ht="30" customHeight="1" x14ac:dyDescent="0.35">
      <c r="A25" s="105"/>
      <c r="B25" s="8" t="s">
        <v>129</v>
      </c>
      <c r="C25" s="17"/>
      <c r="D25" s="6"/>
      <c r="E25" s="16"/>
      <c r="F25" s="6"/>
    </row>
    <row r="26" spans="1:6" ht="30" customHeight="1" x14ac:dyDescent="0.35">
      <c r="A26" s="105"/>
      <c r="B26" s="8" t="s">
        <v>130</v>
      </c>
      <c r="C26" s="17"/>
      <c r="D26" s="6"/>
      <c r="E26" s="16"/>
      <c r="F26" s="6"/>
    </row>
    <row r="27" spans="1:6" ht="39.75" customHeight="1" x14ac:dyDescent="0.35">
      <c r="A27" s="105"/>
      <c r="B27" s="13" t="s">
        <v>69</v>
      </c>
      <c r="C27" s="17"/>
      <c r="D27" s="6"/>
      <c r="E27" s="16" t="s">
        <v>79</v>
      </c>
      <c r="F27" s="6"/>
    </row>
    <row r="28" spans="1:6" ht="22.5" customHeight="1" x14ac:dyDescent="0.35">
      <c r="A28" s="105"/>
      <c r="B28" s="13" t="s">
        <v>84</v>
      </c>
      <c r="C28" s="17">
        <v>3</v>
      </c>
      <c r="D28" s="6"/>
      <c r="E28" s="16" t="s">
        <v>79</v>
      </c>
      <c r="F28" s="6"/>
    </row>
    <row r="29" spans="1:6" ht="20.25" customHeight="1" x14ac:dyDescent="0.35">
      <c r="A29" s="105"/>
      <c r="B29" s="13" t="s">
        <v>83</v>
      </c>
      <c r="C29" s="17">
        <v>3</v>
      </c>
      <c r="D29" s="6"/>
      <c r="E29" s="16" t="s">
        <v>79</v>
      </c>
      <c r="F29" s="6"/>
    </row>
    <row r="30" spans="1:6" ht="20.25" customHeight="1" x14ac:dyDescent="0.35">
      <c r="A30" s="105"/>
      <c r="B30" s="21" t="s">
        <v>85</v>
      </c>
      <c r="C30" s="17">
        <v>3</v>
      </c>
      <c r="D30" s="6"/>
      <c r="E30" s="16"/>
      <c r="F30" s="6"/>
    </row>
    <row r="31" spans="1:6" ht="30.75" customHeight="1" x14ac:dyDescent="0.35">
      <c r="A31" s="105"/>
      <c r="B31" s="12" t="s">
        <v>20</v>
      </c>
      <c r="C31" s="17">
        <v>9</v>
      </c>
      <c r="D31" s="6"/>
      <c r="E31" s="16"/>
      <c r="F31" s="6"/>
    </row>
    <row r="32" spans="1:6" ht="32.25" customHeight="1" x14ac:dyDescent="0.35">
      <c r="A32" s="105"/>
      <c r="B32" s="12" t="s">
        <v>94</v>
      </c>
      <c r="C32" s="17"/>
      <c r="D32" s="6"/>
      <c r="E32" s="31" t="s">
        <v>78</v>
      </c>
      <c r="F32" s="6"/>
    </row>
    <row r="33" spans="1:6" ht="32.25" customHeight="1" x14ac:dyDescent="0.35">
      <c r="A33" s="105"/>
      <c r="B33" s="12" t="s">
        <v>107</v>
      </c>
      <c r="C33" s="6"/>
      <c r="D33" s="6"/>
      <c r="E33" s="36" t="s">
        <v>78</v>
      </c>
      <c r="F33" s="15"/>
    </row>
    <row r="34" spans="1:6" ht="57" customHeight="1" x14ac:dyDescent="0.35">
      <c r="A34" s="105"/>
      <c r="B34" s="12" t="s">
        <v>126</v>
      </c>
      <c r="C34" s="6"/>
      <c r="D34" s="6"/>
      <c r="E34" s="36" t="s">
        <v>106</v>
      </c>
      <c r="F34" s="15"/>
    </row>
    <row r="35" spans="1:6" ht="25.5" customHeight="1" x14ac:dyDescent="0.35">
      <c r="A35" s="89" t="s">
        <v>112</v>
      </c>
      <c r="B35" s="84" t="s">
        <v>113</v>
      </c>
      <c r="C35" s="6"/>
      <c r="D35" s="38"/>
      <c r="E35" s="31"/>
      <c r="F35" s="6"/>
    </row>
    <row r="36" spans="1:6" ht="25.5" customHeight="1" x14ac:dyDescent="0.35">
      <c r="A36" s="89"/>
      <c r="B36" s="85" t="s">
        <v>114</v>
      </c>
      <c r="C36" s="6"/>
      <c r="D36" s="38"/>
      <c r="E36" s="31"/>
      <c r="F36" s="6"/>
    </row>
    <row r="37" spans="1:6" ht="29.25" customHeight="1" x14ac:dyDescent="0.35">
      <c r="A37" s="88" t="s">
        <v>80</v>
      </c>
      <c r="B37" s="88"/>
      <c r="C37" s="86">
        <f>SUM(C9:C31)</f>
        <v>55</v>
      </c>
      <c r="D37" s="38"/>
      <c r="E37" s="31"/>
      <c r="F37" s="87">
        <v>72</v>
      </c>
    </row>
    <row r="39" spans="1:6" x14ac:dyDescent="0.35">
      <c r="A39" t="s">
        <v>155</v>
      </c>
      <c r="D39" t="s">
        <v>156</v>
      </c>
    </row>
    <row r="43" spans="1:6" x14ac:dyDescent="0.35">
      <c r="A43" t="s">
        <v>157</v>
      </c>
      <c r="D43" t="s">
        <v>158</v>
      </c>
    </row>
    <row r="44" spans="1:6" x14ac:dyDescent="0.35">
      <c r="A44" t="s">
        <v>159</v>
      </c>
      <c r="D44" t="s">
        <v>160</v>
      </c>
    </row>
    <row r="45" spans="1:6" x14ac:dyDescent="0.35">
      <c r="A45" t="s">
        <v>161</v>
      </c>
      <c r="D45" t="s">
        <v>162</v>
      </c>
    </row>
  </sheetData>
  <mergeCells count="12">
    <mergeCell ref="A37:B37"/>
    <mergeCell ref="A35:A36"/>
    <mergeCell ref="B7:F7"/>
    <mergeCell ref="A1:F1"/>
    <mergeCell ref="A2:F2"/>
    <mergeCell ref="D4:F4"/>
    <mergeCell ref="B5:F5"/>
    <mergeCell ref="A4:C4"/>
    <mergeCell ref="A5:A34"/>
    <mergeCell ref="B6:D6"/>
    <mergeCell ref="E6:F6"/>
    <mergeCell ref="A3:F3"/>
  </mergeCells>
  <pageMargins left="0.51181102362204722" right="0.11811023622047245" top="0.55118110236220474" bottom="0.35433070866141736" header="0.31496062992125984" footer="0.31496062992125984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opLeftCell="A23" workbookViewId="0">
      <selection activeCell="A37" sqref="A37:E43"/>
    </sheetView>
  </sheetViews>
  <sheetFormatPr baseColWidth="10" defaultRowHeight="14.5" x14ac:dyDescent="0.35"/>
  <cols>
    <col min="1" max="1" width="5.81640625" style="81" customWidth="1"/>
    <col min="2" max="2" width="31.1796875" style="81" customWidth="1"/>
    <col min="3" max="3" width="15.81640625" style="81" customWidth="1"/>
    <col min="4" max="4" width="15.1796875" style="81" customWidth="1"/>
    <col min="5" max="5" width="28.81640625" style="81" customWidth="1"/>
  </cols>
  <sheetData>
    <row r="1" spans="1:5" ht="33.75" customHeight="1" thickBot="1" x14ac:dyDescent="0.4">
      <c r="A1" s="114" t="s">
        <v>0</v>
      </c>
      <c r="B1" s="115"/>
      <c r="C1" s="115"/>
      <c r="D1" s="115"/>
      <c r="E1" s="116"/>
    </row>
    <row r="2" spans="1:5" ht="37.5" customHeight="1" thickBot="1" x14ac:dyDescent="0.4">
      <c r="A2" s="117" t="s">
        <v>120</v>
      </c>
      <c r="B2" s="118"/>
      <c r="C2" s="118"/>
      <c r="D2" s="118"/>
      <c r="E2" s="119"/>
    </row>
    <row r="3" spans="1:5" ht="27" customHeight="1" thickBot="1" x14ac:dyDescent="0.4">
      <c r="A3" s="126" t="s">
        <v>118</v>
      </c>
      <c r="B3" s="127"/>
      <c r="C3" s="127"/>
      <c r="D3" s="127"/>
      <c r="E3" s="128"/>
    </row>
    <row r="4" spans="1:5" ht="28.5" customHeight="1" thickBot="1" x14ac:dyDescent="0.4">
      <c r="A4" s="120" t="s">
        <v>119</v>
      </c>
      <c r="B4" s="129"/>
      <c r="C4" s="121"/>
      <c r="D4" s="120" t="s">
        <v>7</v>
      </c>
      <c r="E4" s="121"/>
    </row>
    <row r="5" spans="1:5" ht="24.75" customHeight="1" thickBot="1" x14ac:dyDescent="0.4">
      <c r="A5" s="131" t="s">
        <v>9</v>
      </c>
      <c r="B5" s="124" t="s">
        <v>6</v>
      </c>
      <c r="C5" s="124"/>
      <c r="D5" s="125"/>
      <c r="E5" s="125"/>
    </row>
    <row r="6" spans="1:5" ht="24.75" customHeight="1" thickBot="1" x14ac:dyDescent="0.5">
      <c r="A6" s="132"/>
      <c r="B6" s="133" t="s">
        <v>109</v>
      </c>
      <c r="C6" s="134"/>
      <c r="D6" s="122">
        <v>98</v>
      </c>
      <c r="E6" s="123"/>
    </row>
    <row r="7" spans="1:5" ht="27.75" customHeight="1" thickBot="1" x14ac:dyDescent="0.4">
      <c r="A7" s="132"/>
      <c r="B7" s="135" t="s">
        <v>2</v>
      </c>
      <c r="C7" s="136"/>
      <c r="D7" s="130"/>
      <c r="E7" s="130"/>
    </row>
    <row r="8" spans="1:5" ht="60" customHeight="1" thickBot="1" x14ac:dyDescent="0.4">
      <c r="A8" s="132"/>
      <c r="B8" s="58" t="s">
        <v>74</v>
      </c>
      <c r="C8" s="59" t="s">
        <v>75</v>
      </c>
      <c r="D8" s="59" t="s">
        <v>132</v>
      </c>
      <c r="E8" s="59" t="s">
        <v>151</v>
      </c>
    </row>
    <row r="9" spans="1:5" ht="34.5" customHeight="1" x14ac:dyDescent="0.35">
      <c r="A9" s="132"/>
      <c r="B9" s="60" t="s">
        <v>86</v>
      </c>
      <c r="C9" s="61"/>
      <c r="D9" s="22" t="s">
        <v>78</v>
      </c>
      <c r="E9" s="22"/>
    </row>
    <row r="10" spans="1:5" ht="33.75" customHeight="1" x14ac:dyDescent="0.35">
      <c r="A10" s="132"/>
      <c r="B10" s="62" t="s">
        <v>41</v>
      </c>
      <c r="C10" s="63">
        <v>3</v>
      </c>
      <c r="D10" s="16" t="s">
        <v>78</v>
      </c>
      <c r="E10" s="16"/>
    </row>
    <row r="11" spans="1:5" ht="51.75" customHeight="1" x14ac:dyDescent="0.35">
      <c r="A11" s="132"/>
      <c r="B11" s="64" t="s">
        <v>42</v>
      </c>
      <c r="C11" s="63">
        <v>6</v>
      </c>
      <c r="D11" s="16"/>
      <c r="E11" s="16"/>
    </row>
    <row r="12" spans="1:5" ht="36.75" customHeight="1" x14ac:dyDescent="0.35">
      <c r="A12" s="132"/>
      <c r="B12" s="64" t="s">
        <v>133</v>
      </c>
      <c r="C12" s="63"/>
      <c r="D12" s="16"/>
      <c r="E12" s="16"/>
    </row>
    <row r="13" spans="1:5" ht="36.75" customHeight="1" x14ac:dyDescent="0.35">
      <c r="A13" s="132"/>
      <c r="B13" s="64" t="s">
        <v>134</v>
      </c>
      <c r="C13" s="63"/>
      <c r="D13" s="16"/>
      <c r="E13" s="16"/>
    </row>
    <row r="14" spans="1:5" ht="21" customHeight="1" x14ac:dyDescent="0.35">
      <c r="A14" s="132"/>
      <c r="B14" s="65" t="s">
        <v>136</v>
      </c>
      <c r="C14" s="63">
        <v>6</v>
      </c>
      <c r="D14" s="16" t="s">
        <v>78</v>
      </c>
      <c r="E14" s="16"/>
    </row>
    <row r="15" spans="1:5" ht="33.75" customHeight="1" x14ac:dyDescent="0.35">
      <c r="A15" s="132"/>
      <c r="B15" s="64" t="s">
        <v>135</v>
      </c>
      <c r="C15" s="63">
        <v>3</v>
      </c>
      <c r="D15" s="16" t="s">
        <v>78</v>
      </c>
      <c r="E15" s="16"/>
    </row>
    <row r="16" spans="1:5" ht="25.5" customHeight="1" x14ac:dyDescent="0.35">
      <c r="A16" s="132"/>
      <c r="B16" s="65" t="s">
        <v>87</v>
      </c>
      <c r="C16" s="63">
        <v>3</v>
      </c>
      <c r="D16" s="16"/>
      <c r="E16" s="16"/>
    </row>
    <row r="17" spans="1:6" ht="27" customHeight="1" x14ac:dyDescent="0.35">
      <c r="A17" s="132"/>
      <c r="B17" s="64" t="s">
        <v>44</v>
      </c>
      <c r="C17" s="63">
        <v>9</v>
      </c>
      <c r="D17" s="16" t="s">
        <v>79</v>
      </c>
      <c r="E17" s="16"/>
    </row>
    <row r="18" spans="1:6" ht="36.75" customHeight="1" x14ac:dyDescent="0.35">
      <c r="A18" s="132"/>
      <c r="B18" s="66" t="s">
        <v>96</v>
      </c>
      <c r="C18" s="63">
        <v>1</v>
      </c>
      <c r="D18" s="16" t="s">
        <v>79</v>
      </c>
      <c r="E18" s="16"/>
    </row>
    <row r="19" spans="1:6" ht="36.75" customHeight="1" x14ac:dyDescent="0.35">
      <c r="A19" s="132"/>
      <c r="B19" s="66" t="s">
        <v>137</v>
      </c>
      <c r="C19" s="63"/>
      <c r="D19" s="16"/>
      <c r="E19" s="16"/>
    </row>
    <row r="20" spans="1:6" ht="27.75" customHeight="1" x14ac:dyDescent="0.35">
      <c r="A20" s="132"/>
      <c r="B20" s="64" t="s">
        <v>47</v>
      </c>
      <c r="C20" s="63">
        <v>3</v>
      </c>
      <c r="D20" s="16" t="s">
        <v>81</v>
      </c>
      <c r="E20" s="16"/>
    </row>
    <row r="21" spans="1:6" ht="27.75" customHeight="1" x14ac:dyDescent="0.35">
      <c r="A21" s="132"/>
      <c r="B21" s="67" t="s">
        <v>45</v>
      </c>
      <c r="C21" s="63">
        <v>4</v>
      </c>
      <c r="D21" s="16"/>
      <c r="E21" s="16"/>
    </row>
    <row r="22" spans="1:6" ht="34.5" customHeight="1" x14ac:dyDescent="0.35">
      <c r="A22" s="132"/>
      <c r="B22" s="64" t="s">
        <v>46</v>
      </c>
      <c r="C22" s="68">
        <v>1</v>
      </c>
      <c r="D22" s="19"/>
      <c r="E22" s="19"/>
      <c r="F22" s="20"/>
    </row>
    <row r="23" spans="1:6" ht="25.5" customHeight="1" x14ac:dyDescent="0.35">
      <c r="A23" s="132"/>
      <c r="B23" s="65" t="s">
        <v>33</v>
      </c>
      <c r="C23" s="63">
        <v>10</v>
      </c>
      <c r="D23" s="16" t="s">
        <v>79</v>
      </c>
      <c r="E23" s="16"/>
    </row>
    <row r="24" spans="1:6" ht="25.5" customHeight="1" x14ac:dyDescent="0.35">
      <c r="A24" s="132"/>
      <c r="B24" s="65" t="s">
        <v>31</v>
      </c>
      <c r="C24" s="63">
        <v>2</v>
      </c>
      <c r="D24" s="16" t="s">
        <v>79</v>
      </c>
      <c r="E24" s="16"/>
    </row>
    <row r="25" spans="1:6" ht="25.5" customHeight="1" x14ac:dyDescent="0.35">
      <c r="A25" s="132"/>
      <c r="B25" s="65" t="s">
        <v>32</v>
      </c>
      <c r="C25" s="63">
        <v>1</v>
      </c>
      <c r="D25" s="16" t="s">
        <v>79</v>
      </c>
      <c r="E25" s="16"/>
    </row>
    <row r="26" spans="1:6" ht="24" customHeight="1" x14ac:dyDescent="0.35">
      <c r="A26" s="132"/>
      <c r="B26" s="69" t="s">
        <v>88</v>
      </c>
      <c r="C26" s="70">
        <v>11</v>
      </c>
      <c r="D26" s="16"/>
      <c r="E26" s="16"/>
    </row>
    <row r="27" spans="1:6" ht="23.25" customHeight="1" x14ac:dyDescent="0.35">
      <c r="A27" s="132"/>
      <c r="B27" s="71" t="s">
        <v>82</v>
      </c>
      <c r="C27" s="63">
        <v>4</v>
      </c>
      <c r="D27" s="16"/>
      <c r="E27" s="16"/>
    </row>
    <row r="28" spans="1:6" ht="23.25" customHeight="1" x14ac:dyDescent="0.35">
      <c r="A28" s="132"/>
      <c r="B28" s="72" t="s">
        <v>89</v>
      </c>
      <c r="C28" s="63">
        <v>11</v>
      </c>
      <c r="D28" s="16"/>
      <c r="E28" s="16"/>
    </row>
    <row r="29" spans="1:6" ht="22.5" customHeight="1" x14ac:dyDescent="0.35">
      <c r="A29" s="132"/>
      <c r="B29" s="73" t="s">
        <v>90</v>
      </c>
      <c r="C29" s="63">
        <v>7</v>
      </c>
      <c r="D29" s="16"/>
      <c r="E29" s="16"/>
    </row>
    <row r="30" spans="1:6" ht="20.25" customHeight="1" x14ac:dyDescent="0.35">
      <c r="A30" s="132"/>
      <c r="B30" s="73" t="s">
        <v>91</v>
      </c>
      <c r="C30" s="63">
        <v>6</v>
      </c>
      <c r="D30" s="16" t="s">
        <v>79</v>
      </c>
      <c r="E30" s="16"/>
    </row>
    <row r="31" spans="1:6" ht="21.75" customHeight="1" x14ac:dyDescent="0.35">
      <c r="A31" s="132"/>
      <c r="B31" s="64" t="s">
        <v>92</v>
      </c>
      <c r="C31" s="63">
        <v>4</v>
      </c>
      <c r="D31" s="16" t="s">
        <v>79</v>
      </c>
      <c r="E31" s="16"/>
    </row>
    <row r="32" spans="1:6" ht="21" customHeight="1" thickBot="1" x14ac:dyDescent="0.4">
      <c r="A32" s="132"/>
      <c r="B32" s="74" t="s">
        <v>95</v>
      </c>
      <c r="C32" s="75">
        <v>1</v>
      </c>
      <c r="D32" s="37"/>
      <c r="E32" s="37"/>
    </row>
    <row r="33" spans="1:5" ht="21" customHeight="1" thickBot="1" x14ac:dyDescent="0.4">
      <c r="A33" s="139" t="s">
        <v>112</v>
      </c>
      <c r="B33" s="76" t="s">
        <v>113</v>
      </c>
      <c r="C33" s="77"/>
      <c r="D33" s="42"/>
      <c r="E33" s="42"/>
    </row>
    <row r="34" spans="1:5" ht="21" customHeight="1" thickBot="1" x14ac:dyDescent="0.4">
      <c r="A34" s="140"/>
      <c r="B34" s="78" t="s">
        <v>114</v>
      </c>
      <c r="C34" s="79"/>
      <c r="D34" s="16"/>
      <c r="E34" s="16"/>
    </row>
    <row r="35" spans="1:5" ht="26.25" customHeight="1" thickBot="1" x14ac:dyDescent="0.4">
      <c r="A35" s="137" t="s">
        <v>93</v>
      </c>
      <c r="B35" s="138"/>
      <c r="C35" s="80">
        <f>SUM(C9:C32)</f>
        <v>96</v>
      </c>
      <c r="D35" s="80"/>
      <c r="E35" s="80">
        <v>84</v>
      </c>
    </row>
    <row r="37" spans="1:5" x14ac:dyDescent="0.35">
      <c r="A37" s="81" t="s">
        <v>155</v>
      </c>
      <c r="D37" s="81" t="s">
        <v>156</v>
      </c>
    </row>
    <row r="41" spans="1:5" x14ac:dyDescent="0.35">
      <c r="A41" s="81" t="s">
        <v>157</v>
      </c>
      <c r="D41" s="81" t="s">
        <v>158</v>
      </c>
    </row>
    <row r="42" spans="1:5" x14ac:dyDescent="0.35">
      <c r="A42" s="81" t="s">
        <v>159</v>
      </c>
      <c r="D42" s="81" t="s">
        <v>160</v>
      </c>
    </row>
    <row r="43" spans="1:5" x14ac:dyDescent="0.35">
      <c r="A43" s="81" t="s">
        <v>161</v>
      </c>
      <c r="D43" s="81" t="s">
        <v>162</v>
      </c>
    </row>
  </sheetData>
  <mergeCells count="13">
    <mergeCell ref="D7:E7"/>
    <mergeCell ref="A5:A32"/>
    <mergeCell ref="B6:C6"/>
    <mergeCell ref="B7:C7"/>
    <mergeCell ref="A35:B35"/>
    <mergeCell ref="A33:A34"/>
    <mergeCell ref="A1:E1"/>
    <mergeCell ref="A2:E2"/>
    <mergeCell ref="D4:E4"/>
    <mergeCell ref="D6:E6"/>
    <mergeCell ref="B5:E5"/>
    <mergeCell ref="A3:E3"/>
    <mergeCell ref="A4:C4"/>
  </mergeCells>
  <pageMargins left="0.51181102362204722" right="0.11811023622047245" top="0.55118110236220474" bottom="0.35433070866141736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opLeftCell="A23" workbookViewId="0">
      <selection activeCell="A32" sqref="A32:E38"/>
    </sheetView>
  </sheetViews>
  <sheetFormatPr baseColWidth="10" defaultRowHeight="14.5" x14ac:dyDescent="0.35"/>
  <cols>
    <col min="1" max="1" width="7.26953125" customWidth="1"/>
    <col min="2" max="2" width="31.7265625" customWidth="1"/>
    <col min="3" max="3" width="17.54296875" customWidth="1"/>
    <col min="4" max="4" width="16" customWidth="1"/>
    <col min="5" max="5" width="18.26953125" customWidth="1"/>
    <col min="6" max="6" width="17" customWidth="1"/>
  </cols>
  <sheetData>
    <row r="1" spans="1:6" ht="30.75" customHeight="1" thickBot="1" x14ac:dyDescent="0.4">
      <c r="A1" s="91" t="s">
        <v>0</v>
      </c>
      <c r="B1" s="92"/>
      <c r="C1" s="92"/>
      <c r="D1" s="92"/>
      <c r="E1" s="92"/>
      <c r="F1" s="93"/>
    </row>
    <row r="2" spans="1:6" ht="20.25" customHeight="1" thickBot="1" x14ac:dyDescent="0.4">
      <c r="A2" s="94" t="s">
        <v>122</v>
      </c>
      <c r="B2" s="95"/>
      <c r="C2" s="95"/>
      <c r="D2" s="95"/>
      <c r="E2" s="95"/>
      <c r="F2" s="96"/>
    </row>
    <row r="3" spans="1:6" ht="19.5" customHeight="1" thickBot="1" x14ac:dyDescent="0.4">
      <c r="A3" s="97" t="s">
        <v>118</v>
      </c>
      <c r="B3" s="98"/>
      <c r="C3" s="98"/>
      <c r="D3" s="98"/>
      <c r="E3" s="98"/>
      <c r="F3" s="99"/>
    </row>
    <row r="4" spans="1:6" ht="22.5" customHeight="1" thickBot="1" x14ac:dyDescent="0.4">
      <c r="A4" s="148" t="s">
        <v>121</v>
      </c>
      <c r="B4" s="98"/>
      <c r="C4" s="98"/>
      <c r="D4" s="99"/>
      <c r="E4" s="111" t="s">
        <v>7</v>
      </c>
      <c r="F4" s="113"/>
    </row>
    <row r="5" spans="1:6" ht="25.5" customHeight="1" thickBot="1" x14ac:dyDescent="0.4">
      <c r="A5" s="146" t="s">
        <v>9</v>
      </c>
      <c r="B5" s="145" t="s">
        <v>4</v>
      </c>
      <c r="C5" s="145"/>
      <c r="D5" s="145"/>
      <c r="E5" s="145"/>
      <c r="F5" s="145"/>
    </row>
    <row r="6" spans="1:6" ht="23.25" customHeight="1" thickBot="1" x14ac:dyDescent="0.4">
      <c r="A6" s="147"/>
      <c r="B6" s="106" t="s">
        <v>76</v>
      </c>
      <c r="C6" s="107"/>
      <c r="D6" s="108"/>
      <c r="E6" s="109">
        <v>57</v>
      </c>
      <c r="F6" s="110"/>
    </row>
    <row r="7" spans="1:6" ht="25.5" customHeight="1" thickBot="1" x14ac:dyDescent="0.4">
      <c r="A7" s="147"/>
      <c r="B7" s="106" t="s">
        <v>2</v>
      </c>
      <c r="C7" s="107"/>
      <c r="D7" s="107"/>
      <c r="E7" s="107"/>
      <c r="F7" s="108"/>
    </row>
    <row r="8" spans="1:6" ht="46" x14ac:dyDescent="0.35">
      <c r="A8" s="147"/>
      <c r="B8" s="24" t="s">
        <v>74</v>
      </c>
      <c r="C8" s="5" t="s">
        <v>75</v>
      </c>
      <c r="D8" s="5" t="s">
        <v>77</v>
      </c>
      <c r="E8" s="5" t="s">
        <v>140</v>
      </c>
      <c r="F8" s="5" t="s">
        <v>150</v>
      </c>
    </row>
    <row r="9" spans="1:6" ht="34.5" customHeight="1" x14ac:dyDescent="0.35">
      <c r="A9" s="147"/>
      <c r="B9" s="10" t="s">
        <v>11</v>
      </c>
      <c r="C9" s="17">
        <v>6</v>
      </c>
      <c r="D9" s="6"/>
      <c r="E9" s="6"/>
      <c r="F9" s="6"/>
    </row>
    <row r="10" spans="1:6" ht="20.25" customHeight="1" x14ac:dyDescent="0.35">
      <c r="A10" s="147"/>
      <c r="B10" s="9" t="s">
        <v>10</v>
      </c>
      <c r="C10" s="17">
        <v>6</v>
      </c>
      <c r="D10" s="6"/>
      <c r="E10" s="6"/>
      <c r="F10" s="6"/>
    </row>
    <row r="11" spans="1:6" ht="21.75" customHeight="1" x14ac:dyDescent="0.35">
      <c r="A11" s="147"/>
      <c r="B11" s="9" t="s">
        <v>13</v>
      </c>
      <c r="C11" s="17"/>
      <c r="D11" s="6"/>
      <c r="E11" s="16"/>
      <c r="F11" s="6"/>
    </row>
    <row r="12" spans="1:6" ht="21.75" customHeight="1" x14ac:dyDescent="0.35">
      <c r="A12" s="147"/>
      <c r="B12" s="9" t="s">
        <v>97</v>
      </c>
      <c r="C12" s="17">
        <v>11</v>
      </c>
      <c r="D12" s="6"/>
      <c r="E12" s="16"/>
      <c r="F12" s="6"/>
    </row>
    <row r="13" spans="1:6" ht="31.5" customHeight="1" x14ac:dyDescent="0.35">
      <c r="A13" s="147"/>
      <c r="B13" s="25" t="s">
        <v>15</v>
      </c>
      <c r="C13" s="17">
        <v>1</v>
      </c>
      <c r="D13" s="6"/>
      <c r="E13" s="16"/>
      <c r="F13" s="6"/>
    </row>
    <row r="14" spans="1:6" ht="20.25" customHeight="1" x14ac:dyDescent="0.35">
      <c r="A14" s="147"/>
      <c r="B14" s="26" t="s">
        <v>98</v>
      </c>
      <c r="C14" s="17">
        <v>8</v>
      </c>
      <c r="D14" s="6"/>
      <c r="E14" s="16"/>
      <c r="F14" s="6"/>
    </row>
    <row r="15" spans="1:6" ht="31.5" customHeight="1" x14ac:dyDescent="0.35">
      <c r="A15" s="147"/>
      <c r="B15" s="10" t="s">
        <v>16</v>
      </c>
      <c r="C15" s="17">
        <v>2</v>
      </c>
      <c r="D15" s="6"/>
      <c r="E15" s="16"/>
      <c r="F15" s="6"/>
    </row>
    <row r="16" spans="1:6" ht="33" customHeight="1" x14ac:dyDescent="0.35">
      <c r="A16" s="147"/>
      <c r="B16" s="32" t="s">
        <v>48</v>
      </c>
      <c r="C16" s="18">
        <v>2</v>
      </c>
      <c r="D16" s="33"/>
      <c r="E16" s="19"/>
      <c r="F16" s="33"/>
    </row>
    <row r="17" spans="1:6" ht="31.5" customHeight="1" x14ac:dyDescent="0.35">
      <c r="A17" s="147"/>
      <c r="B17" s="34" t="s">
        <v>49</v>
      </c>
      <c r="C17" s="18">
        <v>4</v>
      </c>
      <c r="D17" s="33"/>
      <c r="E17" s="19"/>
      <c r="F17" s="33"/>
    </row>
    <row r="18" spans="1:6" ht="34.5" customHeight="1" x14ac:dyDescent="0.35">
      <c r="A18" s="147"/>
      <c r="B18" s="32" t="s">
        <v>99</v>
      </c>
      <c r="C18" s="18"/>
      <c r="D18" s="33"/>
      <c r="E18" s="19"/>
      <c r="F18" s="33"/>
    </row>
    <row r="19" spans="1:6" ht="32.25" customHeight="1" x14ac:dyDescent="0.35">
      <c r="A19" s="147"/>
      <c r="B19" s="32" t="s">
        <v>50</v>
      </c>
      <c r="C19" s="18"/>
      <c r="D19" s="33"/>
      <c r="E19" s="19"/>
      <c r="F19" s="33"/>
    </row>
    <row r="20" spans="1:6" ht="34.5" customHeight="1" x14ac:dyDescent="0.35">
      <c r="A20" s="147"/>
      <c r="B20" s="32" t="s">
        <v>51</v>
      </c>
      <c r="C20" s="18">
        <v>3</v>
      </c>
      <c r="D20" s="33"/>
      <c r="E20" s="19"/>
      <c r="F20" s="33"/>
    </row>
    <row r="21" spans="1:6" ht="24.75" customHeight="1" x14ac:dyDescent="0.35">
      <c r="A21" s="147"/>
      <c r="B21" s="35" t="s">
        <v>52</v>
      </c>
      <c r="C21" s="18">
        <v>3</v>
      </c>
      <c r="D21" s="33"/>
      <c r="E21" s="19"/>
      <c r="F21" s="33"/>
    </row>
    <row r="22" spans="1:6" ht="35.25" customHeight="1" x14ac:dyDescent="0.35">
      <c r="A22" s="147"/>
      <c r="B22" s="25" t="s">
        <v>22</v>
      </c>
      <c r="C22" s="18">
        <v>2</v>
      </c>
      <c r="D22" s="33"/>
      <c r="E22" s="19"/>
      <c r="F22" s="33"/>
    </row>
    <row r="23" spans="1:6" ht="35.25" customHeight="1" x14ac:dyDescent="0.35">
      <c r="A23" s="147"/>
      <c r="B23" s="25" t="s">
        <v>100</v>
      </c>
      <c r="C23" s="17">
        <v>9</v>
      </c>
      <c r="D23" s="6"/>
      <c r="E23" s="16"/>
      <c r="F23" s="33"/>
    </row>
    <row r="24" spans="1:6" ht="35.25" customHeight="1" x14ac:dyDescent="0.35">
      <c r="A24" s="105"/>
      <c r="B24" s="12" t="s">
        <v>138</v>
      </c>
      <c r="C24" s="17"/>
      <c r="D24" s="6"/>
      <c r="E24" s="16"/>
      <c r="F24" s="33"/>
    </row>
    <row r="25" spans="1:6" ht="35.25" customHeight="1" x14ac:dyDescent="0.35">
      <c r="A25" s="105"/>
      <c r="B25" s="12" t="s">
        <v>8</v>
      </c>
      <c r="C25" s="17"/>
      <c r="D25" s="6"/>
      <c r="E25" s="16"/>
      <c r="F25" s="33"/>
    </row>
    <row r="26" spans="1:6" ht="35.25" customHeight="1" x14ac:dyDescent="0.35">
      <c r="A26" s="105"/>
      <c r="B26" s="12" t="s">
        <v>22</v>
      </c>
      <c r="C26" s="17"/>
      <c r="D26" s="6"/>
      <c r="E26" s="16"/>
      <c r="F26" s="33"/>
    </row>
    <row r="27" spans="1:6" ht="31.5" customHeight="1" thickBot="1" x14ac:dyDescent="0.4">
      <c r="A27" s="105"/>
      <c r="B27" s="12" t="s">
        <v>139</v>
      </c>
      <c r="C27" s="6"/>
      <c r="D27" s="6"/>
      <c r="E27" s="6"/>
      <c r="F27" s="6"/>
    </row>
    <row r="28" spans="1:6" ht="19.5" customHeight="1" thickBot="1" x14ac:dyDescent="0.4">
      <c r="A28" s="141" t="s">
        <v>112</v>
      </c>
      <c r="B28" s="51" t="s">
        <v>113</v>
      </c>
      <c r="C28" s="52"/>
      <c r="D28" s="53"/>
      <c r="E28" s="54"/>
      <c r="F28" s="54"/>
    </row>
    <row r="29" spans="1:6" ht="19.5" customHeight="1" thickBot="1" x14ac:dyDescent="0.4">
      <c r="A29" s="142"/>
      <c r="B29" s="44" t="s">
        <v>114</v>
      </c>
      <c r="C29" s="43"/>
      <c r="D29" s="45"/>
      <c r="E29" s="46"/>
      <c r="F29" s="46"/>
    </row>
    <row r="30" spans="1:6" ht="21.75" customHeight="1" thickBot="1" x14ac:dyDescent="0.4">
      <c r="A30" s="143" t="s">
        <v>80</v>
      </c>
      <c r="B30" s="144"/>
      <c r="C30" s="23">
        <f>SUM(C9:C23)</f>
        <v>57</v>
      </c>
      <c r="D30" s="47"/>
      <c r="E30" s="48"/>
      <c r="F30" s="49">
        <v>69</v>
      </c>
    </row>
    <row r="32" spans="1:6" x14ac:dyDescent="0.35">
      <c r="A32" t="s">
        <v>155</v>
      </c>
      <c r="D32" t="s">
        <v>156</v>
      </c>
    </row>
    <row r="36" spans="1:4" x14ac:dyDescent="0.35">
      <c r="A36" t="s">
        <v>157</v>
      </c>
      <c r="D36" t="s">
        <v>158</v>
      </c>
    </row>
    <row r="37" spans="1:4" x14ac:dyDescent="0.35">
      <c r="A37" t="s">
        <v>159</v>
      </c>
      <c r="D37" t="s">
        <v>160</v>
      </c>
    </row>
    <row r="38" spans="1:4" x14ac:dyDescent="0.35">
      <c r="A38" t="s">
        <v>161</v>
      </c>
      <c r="D38" t="s">
        <v>162</v>
      </c>
    </row>
  </sheetData>
  <mergeCells count="12">
    <mergeCell ref="E6:F6"/>
    <mergeCell ref="A28:A29"/>
    <mergeCell ref="A30:B30"/>
    <mergeCell ref="B7:F7"/>
    <mergeCell ref="A1:F1"/>
    <mergeCell ref="A2:F2"/>
    <mergeCell ref="B5:F5"/>
    <mergeCell ref="A5:A27"/>
    <mergeCell ref="A3:F3"/>
    <mergeCell ref="E4:F4"/>
    <mergeCell ref="A4:D4"/>
    <mergeCell ref="B6:D6"/>
  </mergeCells>
  <pageMargins left="0.51181102362204722" right="0.11811023622047245" top="0.55118110236220474" bottom="0.35433070866141736" header="0.31496062992125984" footer="0.31496062992125984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opLeftCell="A36" workbookViewId="0">
      <selection activeCell="A45" sqref="A45:E51"/>
    </sheetView>
  </sheetViews>
  <sheetFormatPr baseColWidth="10" defaultRowHeight="14.5" x14ac:dyDescent="0.35"/>
  <cols>
    <col min="1" max="1" width="7.54296875" customWidth="1"/>
    <col min="2" max="2" width="24.1796875" customWidth="1"/>
    <col min="3" max="3" width="13.453125" customWidth="1"/>
    <col min="6" max="6" width="23.26953125" customWidth="1"/>
  </cols>
  <sheetData>
    <row r="1" spans="1:6" ht="33.75" customHeight="1" thickBot="1" x14ac:dyDescent="0.4">
      <c r="A1" s="91" t="s">
        <v>0</v>
      </c>
      <c r="B1" s="92"/>
      <c r="C1" s="92"/>
      <c r="D1" s="92"/>
      <c r="E1" s="92"/>
      <c r="F1" s="93"/>
    </row>
    <row r="2" spans="1:6" ht="31.5" customHeight="1" thickBot="1" x14ac:dyDescent="0.4">
      <c r="A2" s="94" t="s">
        <v>124</v>
      </c>
      <c r="B2" s="153"/>
      <c r="C2" s="153"/>
      <c r="D2" s="153"/>
      <c r="E2" s="153"/>
      <c r="F2" s="154"/>
    </row>
    <row r="3" spans="1:6" ht="20.25" customHeight="1" thickBot="1" x14ac:dyDescent="0.4">
      <c r="A3" s="111" t="s">
        <v>118</v>
      </c>
      <c r="B3" s="112"/>
      <c r="C3" s="112"/>
      <c r="D3" s="112"/>
      <c r="E3" s="112"/>
      <c r="F3" s="113"/>
    </row>
    <row r="4" spans="1:6" ht="26.25" customHeight="1" thickBot="1" x14ac:dyDescent="0.4">
      <c r="A4" s="111" t="s">
        <v>123</v>
      </c>
      <c r="B4" s="112"/>
      <c r="C4" s="113"/>
      <c r="D4" s="111" t="s">
        <v>116</v>
      </c>
      <c r="E4" s="112"/>
      <c r="F4" s="113"/>
    </row>
    <row r="5" spans="1:6" ht="29.25" customHeight="1" thickBot="1" x14ac:dyDescent="0.4">
      <c r="A5" s="162" t="s">
        <v>9</v>
      </c>
      <c r="B5" s="155" t="s">
        <v>3</v>
      </c>
      <c r="C5" s="145"/>
      <c r="D5" s="145"/>
      <c r="E5" s="145"/>
      <c r="F5" s="156"/>
    </row>
    <row r="6" spans="1:6" ht="29.25" customHeight="1" thickBot="1" x14ac:dyDescent="0.4">
      <c r="A6" s="162"/>
      <c r="B6" s="160" t="s">
        <v>110</v>
      </c>
      <c r="C6" s="161"/>
      <c r="D6" s="157">
        <v>90</v>
      </c>
      <c r="E6" s="158"/>
      <c r="F6" s="159"/>
    </row>
    <row r="7" spans="1:6" ht="21.75" customHeight="1" thickBot="1" x14ac:dyDescent="0.4">
      <c r="A7" s="162"/>
      <c r="B7" s="109" t="s">
        <v>2</v>
      </c>
      <c r="C7" s="110"/>
      <c r="D7" s="110"/>
      <c r="E7" s="110"/>
      <c r="F7" s="110"/>
    </row>
    <row r="8" spans="1:6" ht="69" x14ac:dyDescent="0.35">
      <c r="A8" s="162"/>
      <c r="B8" s="4" t="s">
        <v>74</v>
      </c>
      <c r="C8" s="5" t="s">
        <v>75</v>
      </c>
      <c r="D8" s="5" t="s">
        <v>77</v>
      </c>
      <c r="E8" s="5" t="s">
        <v>140</v>
      </c>
      <c r="F8" s="5" t="s">
        <v>111</v>
      </c>
    </row>
    <row r="9" spans="1:6" ht="31.5" customHeight="1" x14ac:dyDescent="0.35">
      <c r="A9" s="162"/>
      <c r="B9" s="21" t="s">
        <v>40</v>
      </c>
      <c r="C9" s="14"/>
      <c r="D9" s="6"/>
      <c r="E9" s="16" t="s">
        <v>79</v>
      </c>
      <c r="F9" s="6"/>
    </row>
    <row r="10" spans="1:6" ht="44.25" customHeight="1" x14ac:dyDescent="0.35">
      <c r="A10" s="162"/>
      <c r="B10" s="21" t="s">
        <v>41</v>
      </c>
      <c r="C10" s="18">
        <v>9</v>
      </c>
      <c r="D10" s="6"/>
      <c r="E10" s="16" t="s">
        <v>79</v>
      </c>
      <c r="F10" s="6"/>
    </row>
    <row r="11" spans="1:6" ht="44.25" customHeight="1" x14ac:dyDescent="0.35">
      <c r="A11" s="162"/>
      <c r="B11" s="21" t="s">
        <v>141</v>
      </c>
      <c r="C11" s="18">
        <v>9</v>
      </c>
      <c r="D11" s="6"/>
      <c r="E11" s="16"/>
      <c r="F11" s="6"/>
    </row>
    <row r="12" spans="1:6" ht="30" customHeight="1" x14ac:dyDescent="0.35">
      <c r="A12" s="162"/>
      <c r="B12" s="21" t="s">
        <v>43</v>
      </c>
      <c r="C12" s="17">
        <v>5</v>
      </c>
      <c r="D12" s="6"/>
      <c r="E12" s="16" t="s">
        <v>79</v>
      </c>
      <c r="F12" s="6"/>
    </row>
    <row r="13" spans="1:6" ht="31.5" customHeight="1" x14ac:dyDescent="0.35">
      <c r="A13" s="162"/>
      <c r="B13" s="21" t="s">
        <v>56</v>
      </c>
      <c r="C13" s="17">
        <v>1</v>
      </c>
      <c r="D13" s="6"/>
      <c r="E13" s="16"/>
      <c r="F13" s="6"/>
    </row>
    <row r="14" spans="1:6" ht="35.25" customHeight="1" x14ac:dyDescent="0.35">
      <c r="A14" s="162"/>
      <c r="B14" s="21" t="s">
        <v>57</v>
      </c>
      <c r="C14" s="17">
        <v>12</v>
      </c>
      <c r="D14" s="6"/>
      <c r="E14" s="16"/>
      <c r="F14" s="6"/>
    </row>
    <row r="15" spans="1:6" ht="27" customHeight="1" x14ac:dyDescent="0.35">
      <c r="A15" s="162"/>
      <c r="B15" s="21" t="s">
        <v>58</v>
      </c>
      <c r="C15" s="17">
        <v>2</v>
      </c>
      <c r="D15" s="6"/>
      <c r="E15" s="16"/>
      <c r="F15" s="6"/>
    </row>
    <row r="16" spans="1:6" ht="33.75" customHeight="1" x14ac:dyDescent="0.35">
      <c r="A16" s="162"/>
      <c r="B16" s="21" t="s">
        <v>59</v>
      </c>
      <c r="C16" s="17">
        <v>3</v>
      </c>
      <c r="D16" s="6"/>
      <c r="E16" s="16"/>
      <c r="F16" s="6"/>
    </row>
    <row r="17" spans="1:6" ht="27.75" customHeight="1" x14ac:dyDescent="0.35">
      <c r="A17" s="162"/>
      <c r="B17" s="21" t="s">
        <v>105</v>
      </c>
      <c r="C17" s="17">
        <v>3</v>
      </c>
      <c r="D17" s="6"/>
      <c r="E17" s="16"/>
      <c r="F17" s="6"/>
    </row>
    <row r="18" spans="1:6" ht="28.5" customHeight="1" x14ac:dyDescent="0.35">
      <c r="A18" s="162"/>
      <c r="B18" s="21" t="s">
        <v>60</v>
      </c>
      <c r="C18" s="17"/>
      <c r="D18" s="6"/>
      <c r="E18" s="16" t="s">
        <v>79</v>
      </c>
      <c r="F18" s="6"/>
    </row>
    <row r="19" spans="1:6" ht="33.75" customHeight="1" x14ac:dyDescent="0.35">
      <c r="A19" s="162"/>
      <c r="B19" s="12" t="s">
        <v>101</v>
      </c>
      <c r="C19" s="17">
        <v>2</v>
      </c>
      <c r="D19" s="6"/>
      <c r="E19" s="16" t="s">
        <v>79</v>
      </c>
      <c r="F19" s="6"/>
    </row>
    <row r="20" spans="1:6" ht="32.25" customHeight="1" x14ac:dyDescent="0.35">
      <c r="A20" s="162"/>
      <c r="B20" s="21" t="s">
        <v>102</v>
      </c>
      <c r="C20" s="17">
        <v>4</v>
      </c>
      <c r="D20" s="6"/>
      <c r="E20" s="16" t="s">
        <v>79</v>
      </c>
      <c r="F20" s="6"/>
    </row>
    <row r="21" spans="1:6" ht="31.5" customHeight="1" x14ac:dyDescent="0.35">
      <c r="A21" s="162"/>
      <c r="B21" s="21" t="s">
        <v>103</v>
      </c>
      <c r="C21" s="17">
        <v>3</v>
      </c>
      <c r="D21" s="6"/>
      <c r="E21" s="16" t="s">
        <v>79</v>
      </c>
      <c r="F21" s="6"/>
    </row>
    <row r="22" spans="1:6" ht="30.75" customHeight="1" x14ac:dyDescent="0.35">
      <c r="A22" s="162"/>
      <c r="B22" s="21" t="s">
        <v>104</v>
      </c>
      <c r="C22" s="17">
        <v>3</v>
      </c>
      <c r="D22" s="6"/>
      <c r="E22" s="16" t="s">
        <v>79</v>
      </c>
      <c r="F22" s="6"/>
    </row>
    <row r="23" spans="1:6" ht="40.5" customHeight="1" x14ac:dyDescent="0.35">
      <c r="A23" s="162"/>
      <c r="B23" s="21" t="s">
        <v>61</v>
      </c>
      <c r="C23" s="17">
        <v>2</v>
      </c>
      <c r="D23" s="6"/>
      <c r="E23" s="16"/>
      <c r="F23" s="6"/>
    </row>
    <row r="24" spans="1:6" ht="33.75" customHeight="1" x14ac:dyDescent="0.35">
      <c r="A24" s="162"/>
      <c r="B24" s="21" t="s">
        <v>62</v>
      </c>
      <c r="C24" s="17">
        <v>3</v>
      </c>
      <c r="D24" s="6"/>
      <c r="E24" s="16" t="s">
        <v>79</v>
      </c>
      <c r="F24" s="6"/>
    </row>
    <row r="25" spans="1:6" ht="27" customHeight="1" x14ac:dyDescent="0.35">
      <c r="A25" s="162"/>
      <c r="B25" s="21" t="s">
        <v>63</v>
      </c>
      <c r="C25" s="17"/>
      <c r="D25" s="6"/>
      <c r="E25" s="16" t="s">
        <v>79</v>
      </c>
      <c r="F25" s="6"/>
    </row>
    <row r="26" spans="1:6" ht="30.75" customHeight="1" x14ac:dyDescent="0.35">
      <c r="A26" s="162"/>
      <c r="B26" s="21" t="s">
        <v>64</v>
      </c>
      <c r="C26" s="17">
        <v>1</v>
      </c>
      <c r="D26" s="6"/>
      <c r="E26" s="16"/>
      <c r="F26" s="6"/>
    </row>
    <row r="27" spans="1:6" ht="33.75" customHeight="1" x14ac:dyDescent="0.35">
      <c r="A27" s="162"/>
      <c r="B27" s="21" t="s">
        <v>65</v>
      </c>
      <c r="C27" s="17"/>
      <c r="D27" s="6"/>
      <c r="E27" s="16" t="s">
        <v>79</v>
      </c>
      <c r="F27" s="6"/>
    </row>
    <row r="28" spans="1:6" ht="33.75" customHeight="1" x14ac:dyDescent="0.35">
      <c r="A28" s="162"/>
      <c r="B28" s="12" t="s">
        <v>38</v>
      </c>
      <c r="C28" s="17">
        <v>1</v>
      </c>
      <c r="D28" s="6"/>
      <c r="E28" s="16" t="s">
        <v>79</v>
      </c>
      <c r="F28" s="6"/>
    </row>
    <row r="29" spans="1:6" ht="33" customHeight="1" x14ac:dyDescent="0.35">
      <c r="A29" s="162"/>
      <c r="B29" s="13" t="s">
        <v>66</v>
      </c>
      <c r="C29" s="17">
        <v>1</v>
      </c>
      <c r="D29" s="6"/>
      <c r="E29" s="16" t="s">
        <v>79</v>
      </c>
      <c r="F29" s="6"/>
    </row>
    <row r="30" spans="1:6" ht="32.25" customHeight="1" x14ac:dyDescent="0.35">
      <c r="A30" s="162"/>
      <c r="B30" s="8" t="s">
        <v>34</v>
      </c>
      <c r="C30" s="17">
        <v>1</v>
      </c>
      <c r="D30" s="6"/>
      <c r="E30" s="16" t="s">
        <v>79</v>
      </c>
      <c r="F30" s="6"/>
    </row>
    <row r="31" spans="1:6" ht="33" customHeight="1" x14ac:dyDescent="0.35">
      <c r="A31" s="162"/>
      <c r="B31" s="8" t="s">
        <v>35</v>
      </c>
      <c r="C31" s="17">
        <v>1</v>
      </c>
      <c r="D31" s="6"/>
      <c r="E31" s="16" t="s">
        <v>79</v>
      </c>
      <c r="F31" s="6"/>
    </row>
    <row r="32" spans="1:6" ht="23.25" customHeight="1" x14ac:dyDescent="0.35">
      <c r="A32" s="162"/>
      <c r="B32" s="7" t="s">
        <v>36</v>
      </c>
      <c r="C32" s="17">
        <v>3</v>
      </c>
      <c r="D32" s="6"/>
      <c r="E32" s="16" t="s">
        <v>79</v>
      </c>
      <c r="F32" s="6"/>
    </row>
    <row r="33" spans="1:6" ht="35.25" customHeight="1" x14ac:dyDescent="0.35">
      <c r="A33" s="162"/>
      <c r="B33" s="8" t="s">
        <v>115</v>
      </c>
      <c r="C33" s="17">
        <v>1</v>
      </c>
      <c r="D33" s="6"/>
      <c r="E33" s="16" t="s">
        <v>79</v>
      </c>
      <c r="F33" s="6"/>
    </row>
    <row r="34" spans="1:6" ht="23.25" customHeight="1" x14ac:dyDescent="0.35">
      <c r="A34" s="162"/>
      <c r="B34" s="7" t="s">
        <v>37</v>
      </c>
      <c r="C34" s="17">
        <v>2</v>
      </c>
      <c r="D34" s="6"/>
      <c r="E34" s="16" t="s">
        <v>79</v>
      </c>
      <c r="F34" s="6"/>
    </row>
    <row r="35" spans="1:6" ht="32.25" customHeight="1" x14ac:dyDescent="0.35">
      <c r="A35" s="162"/>
      <c r="B35" s="8" t="s">
        <v>26</v>
      </c>
      <c r="C35" s="17">
        <v>5</v>
      </c>
      <c r="D35" s="6"/>
      <c r="E35" s="16"/>
      <c r="F35" s="6"/>
    </row>
    <row r="36" spans="1:6" ht="45.75" customHeight="1" x14ac:dyDescent="0.35">
      <c r="A36" s="162"/>
      <c r="B36" s="8" t="s">
        <v>27</v>
      </c>
      <c r="C36" s="17">
        <v>14</v>
      </c>
      <c r="D36" s="6"/>
      <c r="E36" s="16" t="s">
        <v>79</v>
      </c>
      <c r="F36" s="6"/>
    </row>
    <row r="37" spans="1:6" ht="30" customHeight="1" x14ac:dyDescent="0.35">
      <c r="A37" s="162"/>
      <c r="B37" s="8" t="s">
        <v>28</v>
      </c>
      <c r="C37" s="17">
        <v>2</v>
      </c>
      <c r="D37" s="6"/>
      <c r="E37" s="16" t="s">
        <v>79</v>
      </c>
      <c r="F37" s="6"/>
    </row>
    <row r="38" spans="1:6" ht="30" customHeight="1" x14ac:dyDescent="0.35">
      <c r="A38" s="162"/>
      <c r="B38" s="8" t="s">
        <v>29</v>
      </c>
      <c r="C38" s="17">
        <v>7</v>
      </c>
      <c r="D38" s="6"/>
      <c r="E38" s="16"/>
      <c r="F38" s="6"/>
    </row>
    <row r="39" spans="1:6" ht="30" customHeight="1" x14ac:dyDescent="0.35">
      <c r="A39" s="162"/>
      <c r="B39" s="8" t="s">
        <v>142</v>
      </c>
      <c r="C39" s="17"/>
      <c r="D39" s="6"/>
      <c r="E39" s="16"/>
      <c r="F39" s="6"/>
    </row>
    <row r="40" spans="1:6" ht="28.5" customHeight="1" thickBot="1" x14ac:dyDescent="0.4">
      <c r="A40" s="162"/>
      <c r="B40" s="12" t="s">
        <v>143</v>
      </c>
      <c r="C40" s="6"/>
      <c r="D40" s="6"/>
      <c r="E40" s="6"/>
      <c r="F40" s="6"/>
    </row>
    <row r="41" spans="1:6" ht="19.5" customHeight="1" thickBot="1" x14ac:dyDescent="0.4">
      <c r="A41" s="149" t="s">
        <v>112</v>
      </c>
      <c r="B41" s="55" t="s">
        <v>113</v>
      </c>
      <c r="C41" s="56"/>
      <c r="D41" s="57"/>
      <c r="E41" s="57"/>
      <c r="F41" s="57"/>
    </row>
    <row r="42" spans="1:6" ht="18.75" customHeight="1" thickBot="1" x14ac:dyDescent="0.4">
      <c r="A42" s="150"/>
      <c r="B42" s="50" t="s">
        <v>114</v>
      </c>
      <c r="C42" s="41"/>
      <c r="D42" s="6"/>
      <c r="E42" s="6"/>
      <c r="F42" s="6"/>
    </row>
    <row r="43" spans="1:6" ht="18.75" customHeight="1" thickBot="1" x14ac:dyDescent="0.4">
      <c r="A43" s="151" t="s">
        <v>93</v>
      </c>
      <c r="B43" s="152"/>
      <c r="C43" s="40">
        <f>SUM(C10:C38)</f>
        <v>100</v>
      </c>
      <c r="D43" s="39"/>
      <c r="E43" s="39"/>
      <c r="F43" s="40">
        <v>101</v>
      </c>
    </row>
    <row r="45" spans="1:6" x14ac:dyDescent="0.35">
      <c r="A45" t="s">
        <v>155</v>
      </c>
      <c r="D45" t="s">
        <v>156</v>
      </c>
    </row>
    <row r="49" spans="1:4" x14ac:dyDescent="0.35">
      <c r="A49" t="s">
        <v>157</v>
      </c>
      <c r="D49" t="s">
        <v>158</v>
      </c>
    </row>
    <row r="50" spans="1:4" x14ac:dyDescent="0.35">
      <c r="A50" t="s">
        <v>159</v>
      </c>
      <c r="D50" t="s">
        <v>160</v>
      </c>
    </row>
    <row r="51" spans="1:4" x14ac:dyDescent="0.35">
      <c r="A51" t="s">
        <v>161</v>
      </c>
      <c r="D51" t="s">
        <v>162</v>
      </c>
    </row>
  </sheetData>
  <mergeCells count="12">
    <mergeCell ref="A41:A42"/>
    <mergeCell ref="A43:B43"/>
    <mergeCell ref="A1:F1"/>
    <mergeCell ref="A2:F2"/>
    <mergeCell ref="D4:F4"/>
    <mergeCell ref="B5:F5"/>
    <mergeCell ref="D6:F6"/>
    <mergeCell ref="B7:F7"/>
    <mergeCell ref="B6:C6"/>
    <mergeCell ref="A5:A40"/>
    <mergeCell ref="A3:F3"/>
    <mergeCell ref="A4:C4"/>
  </mergeCells>
  <pageMargins left="0.51181102362204722" right="0.11811023622047245" top="0.55118110236220474" bottom="0.35433070866141736" header="0.31496062992125984" footer="0.31496062992125984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tabSelected="1" topLeftCell="A24" workbookViewId="0">
      <selection activeCell="A37" sqref="A37:E43"/>
    </sheetView>
  </sheetViews>
  <sheetFormatPr baseColWidth="10" defaultRowHeight="14.5" x14ac:dyDescent="0.35"/>
  <cols>
    <col min="1" max="1" width="11.7265625" customWidth="1"/>
    <col min="2" max="2" width="74" customWidth="1"/>
  </cols>
  <sheetData>
    <row r="1" spans="1:3" ht="33.75" customHeight="1" thickBot="1" x14ac:dyDescent="0.4">
      <c r="A1" s="163" t="s">
        <v>0</v>
      </c>
      <c r="B1" s="164"/>
    </row>
    <row r="2" spans="1:3" ht="28.5" customHeight="1" thickBot="1" x14ac:dyDescent="0.4">
      <c r="A2" s="94" t="s">
        <v>152</v>
      </c>
      <c r="B2" s="95"/>
    </row>
    <row r="3" spans="1:3" ht="21" customHeight="1" thickBot="1" x14ac:dyDescent="0.4">
      <c r="A3" s="111" t="s">
        <v>153</v>
      </c>
      <c r="B3" s="112"/>
    </row>
    <row r="4" spans="1:3" ht="21" customHeight="1" thickBot="1" x14ac:dyDescent="0.4">
      <c r="A4" s="97" t="s">
        <v>154</v>
      </c>
      <c r="B4" s="98"/>
      <c r="C4" s="3"/>
    </row>
    <row r="5" spans="1:3" ht="25.5" customHeight="1" thickBot="1" x14ac:dyDescent="0.4">
      <c r="A5" s="146" t="s">
        <v>9</v>
      </c>
      <c r="B5" s="82" t="s">
        <v>5</v>
      </c>
    </row>
    <row r="6" spans="1:3" ht="19.5" customHeight="1" thickBot="1" x14ac:dyDescent="0.4">
      <c r="A6" s="147"/>
      <c r="B6" s="83" t="s">
        <v>2</v>
      </c>
    </row>
    <row r="7" spans="1:3" ht="30" customHeight="1" x14ac:dyDescent="0.35">
      <c r="A7" s="147"/>
      <c r="B7" s="24" t="s">
        <v>74</v>
      </c>
    </row>
    <row r="8" spans="1:3" ht="25.5" customHeight="1" x14ac:dyDescent="0.35">
      <c r="A8" s="147"/>
      <c r="B8" s="25" t="s">
        <v>11</v>
      </c>
    </row>
    <row r="9" spans="1:3" ht="21" customHeight="1" x14ac:dyDescent="0.35">
      <c r="A9" s="147"/>
      <c r="B9" s="30" t="s">
        <v>10</v>
      </c>
    </row>
    <row r="10" spans="1:3" ht="24.75" customHeight="1" x14ac:dyDescent="0.35">
      <c r="A10" s="147"/>
      <c r="B10" s="25" t="s">
        <v>13</v>
      </c>
    </row>
    <row r="11" spans="1:3" ht="27" customHeight="1" x14ac:dyDescent="0.35">
      <c r="A11" s="147"/>
      <c r="B11" s="25" t="s">
        <v>12</v>
      </c>
    </row>
    <row r="12" spans="1:3" ht="27.75" customHeight="1" x14ac:dyDescent="0.35">
      <c r="A12" s="147"/>
      <c r="B12" s="25" t="s">
        <v>14</v>
      </c>
    </row>
    <row r="13" spans="1:3" ht="25.5" customHeight="1" x14ac:dyDescent="0.35">
      <c r="A13" s="147"/>
      <c r="B13" s="26" t="s">
        <v>17</v>
      </c>
    </row>
    <row r="14" spans="1:3" ht="24" customHeight="1" x14ac:dyDescent="0.35">
      <c r="A14" s="147"/>
      <c r="B14" s="25" t="s">
        <v>16</v>
      </c>
    </row>
    <row r="15" spans="1:3" ht="21.75" customHeight="1" x14ac:dyDescent="0.35">
      <c r="A15" s="147"/>
      <c r="B15" s="27" t="s">
        <v>67</v>
      </c>
    </row>
    <row r="16" spans="1:3" ht="24.75" customHeight="1" x14ac:dyDescent="0.35">
      <c r="A16" s="147"/>
      <c r="B16" s="28" t="s">
        <v>68</v>
      </c>
    </row>
    <row r="17" spans="1:2" ht="24" customHeight="1" x14ac:dyDescent="0.35">
      <c r="A17" s="147"/>
      <c r="B17" s="29" t="s">
        <v>70</v>
      </c>
    </row>
    <row r="18" spans="1:2" ht="23.25" customHeight="1" x14ac:dyDescent="0.35">
      <c r="A18" s="147"/>
      <c r="B18" s="29" t="s">
        <v>71</v>
      </c>
    </row>
    <row r="19" spans="1:2" ht="22.5" customHeight="1" x14ac:dyDescent="0.35">
      <c r="A19" s="147"/>
      <c r="B19" s="29" t="s">
        <v>72</v>
      </c>
    </row>
    <row r="20" spans="1:2" ht="27" customHeight="1" x14ac:dyDescent="0.35">
      <c r="A20" s="147"/>
      <c r="B20" s="29" t="s">
        <v>73</v>
      </c>
    </row>
    <row r="21" spans="1:2" ht="30.75" customHeight="1" x14ac:dyDescent="0.35">
      <c r="A21" s="147"/>
      <c r="B21" s="10" t="s">
        <v>23</v>
      </c>
    </row>
    <row r="22" spans="1:2" ht="23.25" customHeight="1" x14ac:dyDescent="0.35">
      <c r="A22" s="147"/>
      <c r="B22" s="10" t="s">
        <v>39</v>
      </c>
    </row>
    <row r="23" spans="1:2" ht="23.25" customHeight="1" x14ac:dyDescent="0.35">
      <c r="A23" s="147"/>
      <c r="B23" s="10" t="s">
        <v>24</v>
      </c>
    </row>
    <row r="24" spans="1:2" ht="23.25" customHeight="1" x14ac:dyDescent="0.35">
      <c r="A24" s="147"/>
      <c r="B24" s="10" t="s">
        <v>25</v>
      </c>
    </row>
    <row r="25" spans="1:2" ht="23.25" customHeight="1" x14ac:dyDescent="0.35">
      <c r="A25" s="147"/>
      <c r="B25" s="10" t="s">
        <v>144</v>
      </c>
    </row>
    <row r="26" spans="1:2" ht="23.25" customHeight="1" x14ac:dyDescent="0.35">
      <c r="A26" s="147"/>
      <c r="B26" s="10" t="s">
        <v>30</v>
      </c>
    </row>
    <row r="27" spans="1:2" ht="23.25" customHeight="1" x14ac:dyDescent="0.35">
      <c r="A27" s="147"/>
      <c r="B27" s="10" t="s">
        <v>31</v>
      </c>
    </row>
    <row r="28" spans="1:2" ht="23.25" customHeight="1" x14ac:dyDescent="0.35">
      <c r="A28" s="147"/>
      <c r="B28" s="10" t="s">
        <v>32</v>
      </c>
    </row>
    <row r="29" spans="1:2" ht="23.25" customHeight="1" x14ac:dyDescent="0.35">
      <c r="A29" s="147"/>
      <c r="B29" s="10" t="s">
        <v>33</v>
      </c>
    </row>
    <row r="30" spans="1:2" ht="23.25" customHeight="1" x14ac:dyDescent="0.35">
      <c r="A30" s="147"/>
      <c r="B30" s="10" t="s">
        <v>53</v>
      </c>
    </row>
    <row r="31" spans="1:2" ht="23.25" customHeight="1" x14ac:dyDescent="0.35">
      <c r="A31" s="105"/>
      <c r="B31" s="8" t="s">
        <v>107</v>
      </c>
    </row>
    <row r="32" spans="1:2" ht="23.25" customHeight="1" x14ac:dyDescent="0.35">
      <c r="A32" s="105"/>
      <c r="B32" s="8" t="s">
        <v>145</v>
      </c>
    </row>
    <row r="33" spans="1:4" ht="23.25" customHeight="1" x14ac:dyDescent="0.35">
      <c r="A33" s="105"/>
      <c r="B33" s="8" t="s">
        <v>147</v>
      </c>
    </row>
    <row r="34" spans="1:4" ht="23.25" customHeight="1" x14ac:dyDescent="0.35">
      <c r="A34" s="105"/>
      <c r="B34" s="8" t="s">
        <v>146</v>
      </c>
    </row>
    <row r="35" spans="1:4" ht="23.25" customHeight="1" x14ac:dyDescent="0.35">
      <c r="A35" s="105"/>
      <c r="B35" s="12" t="s">
        <v>148</v>
      </c>
    </row>
    <row r="37" spans="1:4" x14ac:dyDescent="0.35">
      <c r="A37" t="s">
        <v>155</v>
      </c>
      <c r="D37" t="s">
        <v>156</v>
      </c>
    </row>
    <row r="41" spans="1:4" x14ac:dyDescent="0.35">
      <c r="A41" t="s">
        <v>157</v>
      </c>
      <c r="D41" t="s">
        <v>158</v>
      </c>
    </row>
    <row r="42" spans="1:4" x14ac:dyDescent="0.35">
      <c r="A42" t="s">
        <v>159</v>
      </c>
      <c r="D42" t="s">
        <v>160</v>
      </c>
    </row>
    <row r="43" spans="1:4" x14ac:dyDescent="0.35">
      <c r="A43" t="s">
        <v>161</v>
      </c>
      <c r="D43" t="s">
        <v>162</v>
      </c>
    </row>
  </sheetData>
  <mergeCells count="5">
    <mergeCell ref="A1:B1"/>
    <mergeCell ref="A2:B2"/>
    <mergeCell ref="A3:B3"/>
    <mergeCell ref="A4:B4"/>
    <mergeCell ref="A5:A35"/>
  </mergeCells>
  <pageMargins left="0.51181102362204722" right="0.11811023622047245" top="0.55118110236220474" bottom="0.35433070866141736" header="0.31496062992125984" footer="0.31496062992125984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RUTA 5 LUNES </vt:lpstr>
      <vt:lpstr>RUTA 5 MARTES</vt:lpstr>
      <vt:lpstr>RUTA 5 MIERCOLES</vt:lpstr>
      <vt:lpstr>RUTA 5 JUEVES</vt:lpstr>
      <vt:lpstr>RUTA 5 VIERNES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2024-04-30T21:04:11Z</cp:lastPrinted>
  <dcterms:created xsi:type="dcterms:W3CDTF">2021-07-20T15:12:43Z</dcterms:created>
  <dcterms:modified xsi:type="dcterms:W3CDTF">2024-09-11T15:54:01Z</dcterms:modified>
</cp:coreProperties>
</file>